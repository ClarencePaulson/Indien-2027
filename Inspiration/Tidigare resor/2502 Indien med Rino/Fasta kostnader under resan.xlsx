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psab.sharepoint.com/sites/ClarencePrivat/Delade dokument/Resor/2502 Indien med Rino/"/>
    </mc:Choice>
  </mc:AlternateContent>
  <xr:revisionPtr revIDLastSave="65" documentId="8_{FCC1F15B-50A6-4FEE-895E-450E6ED95EB6}" xr6:coauthVersionLast="47" xr6:coauthVersionMax="47" xr10:uidLastSave="{90839380-DBEA-4156-8544-2A055A7B1C2A}"/>
  <bookViews>
    <workbookView xWindow="29055" yWindow="450" windowWidth="26415" windowHeight="14925" xr2:uid="{D37E1468-B4A4-41D7-B18F-57233EB1D454}"/>
  </bookViews>
  <sheets>
    <sheet name="Mumba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1" l="1"/>
  <c r="F7" i="1" s="1"/>
  <c r="G7" i="1" s="1"/>
  <c r="J7" i="1" s="1"/>
  <c r="D6" i="1"/>
  <c r="F6" i="1" s="1"/>
  <c r="G6" i="1" s="1"/>
  <c r="J6" i="1" s="1"/>
  <c r="D5" i="1"/>
  <c r="F5" i="1" s="1"/>
  <c r="G5" i="1" s="1"/>
  <c r="J5" i="1" s="1"/>
  <c r="J8" i="1" l="1"/>
  <c r="J9" i="1" s="1"/>
</calcChain>
</file>

<file path=xl/sharedStrings.xml><?xml version="1.0" encoding="utf-8"?>
<sst xmlns="http://schemas.openxmlformats.org/spreadsheetml/2006/main" count="25" uniqueCount="23">
  <si>
    <t>Brutto</t>
  </si>
  <si>
    <t>Netto</t>
  </si>
  <si>
    <t>antal</t>
  </si>
  <si>
    <t>Totalt</t>
  </si>
  <si>
    <t>Per person</t>
  </si>
  <si>
    <t>Tilläggspaket</t>
  </si>
  <si>
    <t>Grundpaket</t>
  </si>
  <si>
    <t>INR</t>
  </si>
  <si>
    <t>Växelkurs</t>
  </si>
  <si>
    <t>SEK</t>
  </si>
  <si>
    <t>SEK per person</t>
  </si>
  <si>
    <t>Extra frukost</t>
  </si>
  <si>
    <t>Belopp</t>
  </si>
  <si>
    <t>100 SEK = 770 INR</t>
  </si>
  <si>
    <t>100 INR = 13 SEK</t>
  </si>
  <si>
    <t>Valuta-tolk</t>
  </si>
  <si>
    <t>SEK --&gt; INR</t>
  </si>
  <si>
    <t>INR --&gt; SEK</t>
  </si>
  <si>
    <t>(SEK / 0,13)</t>
  </si>
  <si>
    <t>(INR * 0,13)</t>
  </si>
  <si>
    <t>Skatt</t>
  </si>
  <si>
    <t>Per natt</t>
  </si>
  <si>
    <t>Kalkyl för Taj Mahal Hotel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</si>
</sst>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u/>
      <sz val="12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3" fontId="0" fillId="0" borderId="0" xfId="0" applyNumberFormat="1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1" fillId="0" borderId="0" xfId="0" applyFont="1"/>
    <xf numFmtId="0" fontId="1" fillId="3" borderId="0" xfId="0" applyFont="1" applyFill="1" applyAlignment="1">
      <alignment horizontal="center"/>
    </xf>
    <xf numFmtId="3" fontId="1" fillId="5" borderId="0" xfId="0" applyNumberFormat="1" applyFont="1" applyFill="1"/>
    <xf numFmtId="0" fontId="1" fillId="5" borderId="0" xfId="0" applyFont="1" applyFill="1"/>
    <xf numFmtId="0" fontId="0" fillId="0" borderId="0" xfId="0" applyFont="1"/>
    <xf numFmtId="0" fontId="2" fillId="0" borderId="0" xfId="0" applyFont="1" applyAlignment="1"/>
    <xf numFmtId="0" fontId="3" fillId="0" borderId="0" xfId="0" applyFont="1" applyAlignment="1"/>
    <xf numFmtId="0" fontId="1" fillId="0" borderId="1" xfId="0" applyFont="1" applyBorder="1"/>
    <xf numFmtId="3" fontId="0" fillId="4" borderId="1" xfId="0" applyNumberFormat="1" applyFill="1" applyBorder="1"/>
    <xf numFmtId="9" fontId="0" fillId="4" borderId="1" xfId="0" applyNumberFormat="1" applyFill="1" applyBorder="1"/>
    <xf numFmtId="0" fontId="0" fillId="4" borderId="1" xfId="0" applyFill="1" applyBorder="1"/>
    <xf numFmtId="0" fontId="0" fillId="5" borderId="1" xfId="0" applyFill="1" applyBorder="1"/>
    <xf numFmtId="3" fontId="1" fillId="5" borderId="1" xfId="0" applyNumberFormat="1" applyFont="1" applyFill="1" applyBorder="1"/>
    <xf numFmtId="0" fontId="1" fillId="3" borderId="0" xfId="0" applyFont="1" applyFill="1" applyAlignment="1">
      <alignment horizontal="right"/>
    </xf>
    <xf numFmtId="3" fontId="0" fillId="0" borderId="0" xfId="0" applyNumberFormat="1" applyAlignment="1">
      <alignment horizontal="right"/>
    </xf>
    <xf numFmtId="0" fontId="1" fillId="2" borderId="0" xfId="0" applyFont="1" applyFill="1" applyAlignment="1">
      <alignment horizontal="right"/>
    </xf>
    <xf numFmtId="0" fontId="0" fillId="5" borderId="0" xfId="0" applyFont="1" applyFill="1"/>
    <xf numFmtId="3" fontId="0" fillId="5" borderId="0" xfId="0" applyNumberFormat="1" applyFont="1" applyFill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1F3E9-4E9F-4D2B-9DDF-F8FC36480FE8}">
  <dimension ref="A1:K13"/>
  <sheetViews>
    <sheetView tabSelected="1" workbookViewId="0">
      <selection sqref="A1:L12"/>
    </sheetView>
  </sheetViews>
  <sheetFormatPr defaultRowHeight="15" x14ac:dyDescent="0.25"/>
  <cols>
    <col min="1" max="1" width="12.7109375" bestFit="1" customWidth="1"/>
    <col min="7" max="7" width="10.42578125" bestFit="1" customWidth="1"/>
    <col min="8" max="8" width="1.5703125" customWidth="1"/>
    <col min="9" max="9" width="9.5703125" bestFit="1" customWidth="1"/>
    <col min="10" max="10" width="9.42578125" bestFit="1" customWidth="1"/>
  </cols>
  <sheetData>
    <row r="1" spans="1:11" ht="15.75" x14ac:dyDescent="0.25">
      <c r="A1" s="22" t="s">
        <v>22</v>
      </c>
    </row>
    <row r="3" spans="1:11" x14ac:dyDescent="0.25">
      <c r="B3" s="5" t="s">
        <v>7</v>
      </c>
      <c r="C3" s="5"/>
      <c r="D3" s="5"/>
      <c r="E3" s="5"/>
      <c r="F3" s="5"/>
      <c r="G3" s="5"/>
      <c r="H3" s="1"/>
      <c r="I3" s="3" t="s">
        <v>9</v>
      </c>
      <c r="J3" s="2"/>
    </row>
    <row r="4" spans="1:11" x14ac:dyDescent="0.25">
      <c r="B4" s="17" t="s">
        <v>1</v>
      </c>
      <c r="C4" s="17" t="s">
        <v>20</v>
      </c>
      <c r="D4" s="17" t="s">
        <v>0</v>
      </c>
      <c r="E4" s="17" t="s">
        <v>2</v>
      </c>
      <c r="F4" s="17" t="s">
        <v>3</v>
      </c>
      <c r="G4" s="17" t="s">
        <v>4</v>
      </c>
      <c r="H4" s="18"/>
      <c r="I4" s="19" t="s">
        <v>8</v>
      </c>
      <c r="J4" s="19" t="s">
        <v>12</v>
      </c>
    </row>
    <row r="5" spans="1:11" x14ac:dyDescent="0.25">
      <c r="A5" s="11" t="s">
        <v>6</v>
      </c>
      <c r="B5" s="12">
        <v>84800</v>
      </c>
      <c r="C5" s="13">
        <v>0.18</v>
      </c>
      <c r="D5" s="12">
        <f>B5+B5*C5</f>
        <v>100064</v>
      </c>
      <c r="E5" s="12">
        <v>1</v>
      </c>
      <c r="F5" s="12">
        <f>D5*E5</f>
        <v>100064</v>
      </c>
      <c r="G5" s="12">
        <f>F5/2</f>
        <v>50032</v>
      </c>
      <c r="H5" s="1"/>
      <c r="I5" s="15">
        <v>0.13</v>
      </c>
      <c r="J5" s="16">
        <f>G5*I5</f>
        <v>6504.16</v>
      </c>
    </row>
    <row r="6" spans="1:11" x14ac:dyDescent="0.25">
      <c r="A6" s="11" t="s">
        <v>5</v>
      </c>
      <c r="B6" s="12">
        <v>4000</v>
      </c>
      <c r="C6" s="13">
        <v>0.18</v>
      </c>
      <c r="D6" s="12">
        <f>B6+B6*C6</f>
        <v>4720</v>
      </c>
      <c r="E6" s="12">
        <v>2</v>
      </c>
      <c r="F6" s="12">
        <f>D6*E6</f>
        <v>9440</v>
      </c>
      <c r="G6" s="12">
        <f>F6/2</f>
        <v>4720</v>
      </c>
      <c r="H6" s="1"/>
      <c r="I6" s="15">
        <v>0.13</v>
      </c>
      <c r="J6" s="16">
        <f>G6*I6</f>
        <v>613.6</v>
      </c>
    </row>
    <row r="7" spans="1:11" x14ac:dyDescent="0.25">
      <c r="A7" s="11" t="s">
        <v>11</v>
      </c>
      <c r="B7" s="14">
        <v>2500</v>
      </c>
      <c r="C7" s="13">
        <v>0.18</v>
      </c>
      <c r="D7" s="12">
        <f>B7+B7*C7</f>
        <v>2950</v>
      </c>
      <c r="E7" s="12">
        <v>2</v>
      </c>
      <c r="F7" s="12">
        <f>D7*E7</f>
        <v>5900</v>
      </c>
      <c r="G7" s="12">
        <f>F7/2</f>
        <v>2950</v>
      </c>
      <c r="H7" s="1"/>
      <c r="I7" s="15">
        <v>0.13</v>
      </c>
      <c r="J7" s="16">
        <f>G7*I7</f>
        <v>383.5</v>
      </c>
    </row>
    <row r="8" spans="1:11" x14ac:dyDescent="0.25">
      <c r="I8" s="7" t="s">
        <v>3</v>
      </c>
      <c r="J8" s="6">
        <f>SUM(J5:J7)</f>
        <v>7501.26</v>
      </c>
      <c r="K8" s="4" t="s">
        <v>10</v>
      </c>
    </row>
    <row r="9" spans="1:11" x14ac:dyDescent="0.25">
      <c r="A9" s="8"/>
      <c r="I9" s="20" t="s">
        <v>21</v>
      </c>
      <c r="J9" s="21">
        <f>J8/2</f>
        <v>3750.63</v>
      </c>
      <c r="K9" s="8" t="s">
        <v>10</v>
      </c>
    </row>
    <row r="10" spans="1:11" x14ac:dyDescent="0.25">
      <c r="A10" s="9" t="s">
        <v>15</v>
      </c>
      <c r="B10" s="10"/>
      <c r="C10" s="10"/>
      <c r="D10" s="8"/>
    </row>
    <row r="11" spans="1:11" x14ac:dyDescent="0.25">
      <c r="A11" s="8" t="s">
        <v>16</v>
      </c>
      <c r="B11" s="4" t="s">
        <v>13</v>
      </c>
      <c r="C11" s="8"/>
      <c r="D11" s="8" t="s">
        <v>18</v>
      </c>
    </row>
    <row r="12" spans="1:11" x14ac:dyDescent="0.25">
      <c r="A12" s="8" t="s">
        <v>17</v>
      </c>
      <c r="B12" s="4" t="s">
        <v>14</v>
      </c>
      <c r="C12" s="8"/>
      <c r="D12" s="8" t="s">
        <v>19</v>
      </c>
    </row>
    <row r="13" spans="1:11" x14ac:dyDescent="0.25">
      <c r="A13" s="8"/>
      <c r="B13" s="8"/>
      <c r="C13" s="8"/>
      <c r="D13" s="8"/>
    </row>
  </sheetData>
  <mergeCells count="3">
    <mergeCell ref="B3:G3"/>
    <mergeCell ref="I3:J3"/>
    <mergeCell ref="A10:C10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6D90F988E61904D8EC633770BD24B09" ma:contentTypeVersion="13" ma:contentTypeDescription="Skapa ett nytt dokument." ma:contentTypeScope="" ma:versionID="09ecf969cc0633a455cd2c754af27151">
  <xsd:schema xmlns:xsd="http://www.w3.org/2001/XMLSchema" xmlns:xs="http://www.w3.org/2001/XMLSchema" xmlns:p="http://schemas.microsoft.com/office/2006/metadata/properties" xmlns:ns2="0d0275f8-4db0-49f2-b345-0bdc5fda63f3" xmlns:ns3="ef04de5a-ef8f-48f2-bbea-36d99277e398" targetNamespace="http://schemas.microsoft.com/office/2006/metadata/properties" ma:root="true" ma:fieldsID="0b625fe0f6d5268d947e80b98084b4e8" ns2:_="" ns3:_="">
    <xsd:import namespace="0d0275f8-4db0-49f2-b345-0bdc5fda63f3"/>
    <xsd:import namespace="ef04de5a-ef8f-48f2-bbea-36d99277e3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0275f8-4db0-49f2-b345-0bdc5fda63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Bildmarkeringar" ma:readOnly="false" ma:fieldId="{5cf76f15-5ced-4ddc-b409-7134ff3c332f}" ma:taxonomyMulti="true" ma:sspId="2324ca79-7faf-4dc5-a120-c9581a2436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04de5a-ef8f-48f2-bbea-36d99277e398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4b662024-0c55-4ba6-bdd2-3dd0073c59d4}" ma:internalName="TaxCatchAll" ma:showField="CatchAllData" ma:web="ef04de5a-ef8f-48f2-bbea-36d99277e3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ehållstyp"/>
        <xsd:element ref="dc:title" minOccurs="0" maxOccurs="1" ma:index="4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04de5a-ef8f-48f2-bbea-36d99277e398" xsi:nil="true"/>
    <lcf76f155ced4ddcb4097134ff3c332f xmlns="0d0275f8-4db0-49f2-b345-0bdc5fda63f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0DE9D47-8BEA-4401-A35F-4B0BEAB854F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d0275f8-4db0-49f2-b345-0bdc5fda63f3"/>
    <ds:schemaRef ds:uri="ef04de5a-ef8f-48f2-bbea-36d99277e3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4C19EAF-2532-4551-B643-4448EA2D5C5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4F3AAE7-BD2B-4BDB-9830-BCCD06D7B239}">
  <ds:schemaRefs>
    <ds:schemaRef ds:uri="http://purl.org/dc/dcmitype/"/>
    <ds:schemaRef ds:uri="http://purl.org/dc/elements/1.1/"/>
    <ds:schemaRef ds:uri="http://schemas.microsoft.com/office/2006/documentManagement/types"/>
    <ds:schemaRef ds:uri="http://schemas.microsoft.com/office/2006/metadata/properties"/>
    <ds:schemaRef ds:uri="0d0275f8-4db0-49f2-b345-0bdc5fda63f3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ef04de5a-ef8f-48f2-bbea-36d99277e398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Mumbai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Clarence Paulson</dc:creator>
  <cp:lastModifiedBy>Clarence Paulson</cp:lastModifiedBy>
  <dcterms:created xsi:type="dcterms:W3CDTF">2025-01-08T08:33:30Z</dcterms:created>
  <dcterms:modified xsi:type="dcterms:W3CDTF">2025-01-08T14:13:33Z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0x01010016D90F988E61904D8EC633770BD24B09</vt:lpwstr>
  </property>
  <property fmtid="{D5CDD505-2E9C-101B-9397-08002B2CF9AE}" pid="3" name="MediaServiceImageTags">
    <vt:lpwstr/>
  </property>
</Properties>
</file>