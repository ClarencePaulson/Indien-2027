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https://cpsab.sharepoint.com/sites/ClarencePrivat/Delade dokument/Resor/2502 Indien med Rino/50 Ekonomi/"/>
    </mc:Choice>
  </mc:AlternateContent>
  <xr:revisionPtr revIDLastSave="284" documentId="11_16E6E2F4FA1737F5B033E228CEAE0BBAD4BE7F61" xr6:coauthVersionLast="47" xr6:coauthVersionMax="47" xr10:uidLastSave="{F33B1529-1E73-4EDE-9D07-0EA67E74B35A}"/>
  <bookViews>
    <workbookView xWindow="1440" yWindow="300" windowWidth="26595" windowHeight="15180" activeTab="2" xr2:uid="{00000000-000D-0000-FFFF-FFFF00000000}"/>
  </bookViews>
  <sheets>
    <sheet name="Summa Indien 2025" sheetId="4" r:id="rId1"/>
    <sheet name="Handkassa CP" sheetId="1" r:id="rId2"/>
    <sheet name="ICA Translogg" sheetId="3" r:id="rId3"/>
  </sheets>
  <definedNames>
    <definedName name="_xlnm._FilterDatabase" localSheetId="2" hidden="1">'ICA Translogg'!$A$1:$H$55</definedName>
    <definedName name="rs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  <c r="D11" i="4"/>
  <c r="E59" i="3"/>
  <c r="E60" i="3" s="1"/>
  <c r="C22" i="1"/>
  <c r="C21" i="1"/>
  <c r="G22" i="1"/>
  <c r="F23" i="1"/>
  <c r="F14" i="1"/>
  <c r="F15" i="1"/>
  <c r="F16" i="1"/>
  <c r="F18" i="1"/>
  <c r="F19" i="1"/>
  <c r="F21" i="1"/>
  <c r="F24" i="1"/>
  <c r="F25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3" i="1"/>
  <c r="G23" i="1"/>
  <c r="C24" i="1"/>
  <c r="G24" i="1"/>
  <c r="C25" i="1"/>
  <c r="G25" i="1"/>
  <c r="G11" i="1"/>
  <c r="G12" i="1"/>
  <c r="G13" i="1"/>
  <c r="G14" i="1"/>
  <c r="G15" i="1"/>
  <c r="G16" i="1"/>
  <c r="G17" i="1"/>
  <c r="G18" i="1"/>
  <c r="G19" i="1"/>
  <c r="G20" i="1"/>
  <c r="G21" i="1"/>
  <c r="G9" i="1"/>
  <c r="G10" i="1"/>
  <c r="G8" i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Clarence Paulson</author>
  </authors>
  <commentList>
    <comment ref="A4" authorId="0" shapeId="0" xr:uid="{1EB2FBD8-8EF9-4FF8-968D-2C57B315083C}">
      <text>
        <r>
          <rPr>
            <sz val="11"/>
            <color theme="1"/>
            <rFont val="Aptos Narrow"/>
            <family val="2"/>
            <scheme val="minor"/>
          </rPr>
          <t>Clarence Paulson:
5år!</t>
        </r>
      </text>
    </comment>
    <comment ref="A11" authorId="0" shapeId="0" xr:uid="{2FA338ED-C356-452F-B409-9334057031C2}">
      <text>
        <r>
          <rPr>
            <sz val="11"/>
            <color theme="1"/>
            <rFont val="Aptos Narrow"/>
            <family val="2"/>
            <scheme val="minor"/>
          </rPr>
          <t>Clarence Paulson:
Mat (ej frukost), Presenter drinkar, Taxi, övrigt</t>
        </r>
      </text>
    </comment>
  </commentList>
</comments>
</file>

<file path=xl/sharedStrings.xml><?xml version="1.0" encoding="utf-8"?>
<sst xmlns="http://schemas.openxmlformats.org/spreadsheetml/2006/main" count="283" uniqueCount="91">
  <si>
    <t>Firmans</t>
  </si>
  <si>
    <t>Privat</t>
  </si>
  <si>
    <t>/dag</t>
  </si>
  <si>
    <t>Visum</t>
  </si>
  <si>
    <t>*</t>
  </si>
  <si>
    <t>Taxi L69 --&gt; Arn</t>
  </si>
  <si>
    <t>Resa Arn --&gt; Bom</t>
  </si>
  <si>
    <t>KIWI: Arn --&gt; Ist --&gt; Bom</t>
  </si>
  <si>
    <t xml:space="preserve">The Taj </t>
  </si>
  <si>
    <t>2 nätter</t>
  </si>
  <si>
    <t>Resa Bom --&gt; Thivim</t>
  </si>
  <si>
    <t>Boende Goa 1</t>
  </si>
  <si>
    <t>12 nätter</t>
  </si>
  <si>
    <t>Boende Goa 2</t>
  </si>
  <si>
    <t>1 natt</t>
  </si>
  <si>
    <t>Handkassa</t>
  </si>
  <si>
    <t>16d: 10/2 -- 27/2</t>
  </si>
  <si>
    <t>Bom Lounch</t>
  </si>
  <si>
    <t>Resa GOI --&gt; Arn</t>
  </si>
  <si>
    <t>GOI --&gt; BOM --&gt; Paris --&gt; Arn</t>
  </si>
  <si>
    <t>Taxi Arn --&gt; L69</t>
  </si>
  <si>
    <t>Summa</t>
  </si>
  <si>
    <t>Budget</t>
  </si>
  <si>
    <t>Utfall</t>
  </si>
  <si>
    <t>över -</t>
  </si>
  <si>
    <t>Datum</t>
  </si>
  <si>
    <t>Förändring</t>
  </si>
  <si>
    <t>Fria medel</t>
  </si>
  <si>
    <t>Kommentar</t>
  </si>
  <si>
    <t>Tagg</t>
  </si>
  <si>
    <t>ICA Priv</t>
  </si>
  <si>
    <t>Budget kvar</t>
  </si>
  <si>
    <t>Start</t>
  </si>
  <si>
    <t>Åsas present</t>
  </si>
  <si>
    <t>(P) Övrig privat drift</t>
  </si>
  <si>
    <t>Reskassa Indien Mumbai (-23 200rs): -3 000 (Enskild händelse)</t>
  </si>
  <si>
    <t>Rymdresa</t>
  </si>
  <si>
    <t>Reskassa Indien Goa (-3 900rs): -500 (Månadsvis upprepat)</t>
  </si>
  <si>
    <t>Övrig drift: -1 000 (Veckovis upprepat)</t>
  </si>
  <si>
    <t>Presenter - Alex (4/3): -700 (Årligen upprepat)</t>
  </si>
  <si>
    <t>(P) Presenter</t>
  </si>
  <si>
    <t>Presenter - Sextanter * 5, Plåtniklas</t>
  </si>
  <si>
    <t xml:space="preserve">scarfar, Alex &amp; Malte, Alex, </t>
  </si>
  <si>
    <t>Text</t>
  </si>
  <si>
    <t>Typ</t>
  </si>
  <si>
    <t>Budgetgrupp</t>
  </si>
  <si>
    <t>Belopp</t>
  </si>
  <si>
    <t>Saldo</t>
  </si>
  <si>
    <t>Indien</t>
  </si>
  <si>
    <t xml:space="preserve">Systembolaget          Kungens Kurva  Se </t>
  </si>
  <si>
    <t>Reserverat Belopp</t>
  </si>
  <si>
    <t>Övrigt</t>
  </si>
  <si>
    <t>Swish Tabbouli City Ab</t>
  </si>
  <si>
    <t>Uttag</t>
  </si>
  <si>
    <t>Rupier i plånboken</t>
  </si>
  <si>
    <t>Restbelopp (-ich)</t>
  </si>
  <si>
    <t>Avgift Atm Uttag</t>
  </si>
  <si>
    <t>2051 Icici Bank</t>
  </si>
  <si>
    <t>Swish Sture Paulson</t>
  </si>
  <si>
    <t>Insättning</t>
  </si>
  <si>
    <t>Älg Tabouli</t>
  </si>
  <si>
    <t>Icici Bank</t>
  </si>
  <si>
    <t>Royal Fashion Arts</t>
  </si>
  <si>
    <t>Korttransaktion</t>
  </si>
  <si>
    <t>Swish Tomas Hagenfors</t>
  </si>
  <si>
    <t>Swish Wennerholm,Rino</t>
  </si>
  <si>
    <t>Yes Bank</t>
  </si>
  <si>
    <t>Hdfc Bank Ltd.</t>
  </si>
  <si>
    <t xml:space="preserve">Arlanda Walk Through          </t>
  </si>
  <si>
    <t>Istanbul Havalimani</t>
  </si>
  <si>
    <t xml:space="preserve">3610 Gateau T5f               </t>
  </si>
  <si>
    <t>Avgift Bankkort</t>
  </si>
  <si>
    <t>Google  Google Play Ap</t>
  </si>
  <si>
    <t>Överföring Till Ica Banks Konto</t>
  </si>
  <si>
    <t xml:space="preserve">The One Hair &amp; Barbers        </t>
  </si>
  <si>
    <t xml:space="preserve">Bankomat Ica                  </t>
  </si>
  <si>
    <t xml:space="preserve">Systembolaget                 </t>
  </si>
  <si>
    <t>Avanza</t>
  </si>
  <si>
    <t xml:space="preserve">Sjofartshusets                </t>
  </si>
  <si>
    <t xml:space="preserve">Sl                            </t>
  </si>
  <si>
    <t>Apotek Hjärtat Skärh</t>
  </si>
  <si>
    <t>The Indian Hotels Co</t>
  </si>
  <si>
    <t xml:space="preserve">Medley Jakobsbe               </t>
  </si>
  <si>
    <t xml:space="preserve">Okq8                          </t>
  </si>
  <si>
    <t xml:space="preserve">Aftonbladet.Se                </t>
  </si>
  <si>
    <t xml:space="preserve">Beirut Lounge                 </t>
  </si>
  <si>
    <t xml:space="preserve">Cafe Fresh                    </t>
  </si>
  <si>
    <t xml:space="preserve">Dressmann Xl M6               </t>
  </si>
  <si>
    <t xml:space="preserve">Apoteket Fruaengstorge        </t>
  </si>
  <si>
    <t xml:space="preserve">Easypark                      </t>
  </si>
  <si>
    <t>Belopp per dag (20d)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</si>
</sst>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kr&quot;;[Red]\-#,##0.00\ &quot;kr&quot;"/>
  </numFmts>
  <fonts count="5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i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DB4E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8DB4E2"/>
      </bottom>
      <diagonal/>
    </border>
    <border>
      <left/>
      <right style="thin">
        <color rgb="FF8DB4E2"/>
      </right>
      <top style="thin">
        <color rgb="FF8DB4E2"/>
      </top>
      <bottom style="thin">
        <color rgb="FF8DB4E2"/>
      </bottom>
      <diagonal/>
    </border>
    <border>
      <left style="thin">
        <color rgb="FF8DB4E2"/>
      </left>
      <right style="thin">
        <color rgb="FF8DB4E2"/>
      </right>
      <top/>
      <bottom style="thin">
        <color rgb="FF8DB4E2"/>
      </bottom>
      <diagonal/>
    </border>
    <border>
      <left/>
      <right style="thin">
        <color rgb="FF8DB4E2"/>
      </right>
      <top/>
      <bottom style="thin">
        <color rgb="FF8DB4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14" fontId="2" fillId="0" borderId="3" xfId="0" applyNumberFormat="1" applyFont="1" applyBorder="1"/>
    <xf numFmtId="0" fontId="2" fillId="0" borderId="4" xfId="0" applyFont="1" applyBorder="1"/>
    <xf numFmtId="3" fontId="2" fillId="0" borderId="4" xfId="0" applyNumberFormat="1" applyFont="1" applyBorder="1"/>
    <xf numFmtId="0" fontId="2" fillId="0" borderId="0" xfId="0" applyFont="1"/>
    <xf numFmtId="14" fontId="0" fillId="0" borderId="0" xfId="0" applyNumberForma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3" fontId="2" fillId="3" borderId="0" xfId="0" applyNumberFormat="1" applyFont="1" applyFill="1"/>
    <xf numFmtId="3" fontId="2" fillId="4" borderId="4" xfId="0" applyNumberFormat="1" applyFont="1" applyFill="1" applyBorder="1"/>
    <xf numFmtId="0" fontId="2" fillId="4" borderId="4" xfId="0" applyFont="1" applyFill="1" applyBorder="1"/>
    <xf numFmtId="3" fontId="4" fillId="4" borderId="0" xfId="0" applyNumberFormat="1" applyFont="1" applyFill="1"/>
    <xf numFmtId="8" fontId="0" fillId="0" borderId="0" xfId="0" applyNumberFormat="1"/>
    <xf numFmtId="0" fontId="0" fillId="0" borderId="0" xfId="0" applyAlignment="1">
      <alignment horizontal="left" inden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9C3E-83F8-483A-B271-3F3A49861F55}">
  <dimension ref="A2:G17"/>
  <sheetViews>
    <sheetView workbookViewId="0">
      <selection activeCell="D8" sqref="D8"/>
    </sheetView>
  </sheetViews>
  <sheetFormatPr defaultRowHeight="15"/>
  <cols>
    <col min="1" max="1" width="18.7109375" bestFit="1" customWidth="1"/>
    <col min="2" max="2" width="9.28515625" bestFit="1" customWidth="1"/>
    <col min="3" max="3" width="26" bestFit="1" customWidth="1"/>
  </cols>
  <sheetData>
    <row r="2" spans="1:7">
      <c r="F2" t="s">
        <v>0</v>
      </c>
      <c r="G2" t="s">
        <v>1</v>
      </c>
    </row>
    <row r="3" spans="1:7">
      <c r="D3" s="18" t="s">
        <v>2</v>
      </c>
    </row>
    <row r="4" spans="1:7">
      <c r="A4" t="s">
        <v>3</v>
      </c>
      <c r="B4" s="10">
        <v>965</v>
      </c>
      <c r="F4" t="s">
        <v>4</v>
      </c>
    </row>
    <row r="5" spans="1:7">
      <c r="A5" t="s">
        <v>5</v>
      </c>
      <c r="B5" s="10">
        <v>985</v>
      </c>
      <c r="F5" t="s">
        <v>4</v>
      </c>
    </row>
    <row r="6" spans="1:7">
      <c r="A6" t="s">
        <v>6</v>
      </c>
      <c r="B6" s="10">
        <v>8383</v>
      </c>
      <c r="C6" t="s">
        <v>7</v>
      </c>
      <c r="F6" t="s">
        <v>4</v>
      </c>
    </row>
    <row r="7" spans="1:7">
      <c r="A7" t="s">
        <v>8</v>
      </c>
      <c r="B7" s="10">
        <v>7248</v>
      </c>
      <c r="C7" t="s">
        <v>9</v>
      </c>
      <c r="F7" t="s">
        <v>4</v>
      </c>
    </row>
    <row r="8" spans="1:7">
      <c r="A8" t="s">
        <v>10</v>
      </c>
      <c r="B8" s="10">
        <v>750</v>
      </c>
      <c r="F8" t="s">
        <v>4</v>
      </c>
    </row>
    <row r="9" spans="1:7">
      <c r="A9" t="s">
        <v>11</v>
      </c>
      <c r="B9" s="10">
        <v>7587</v>
      </c>
      <c r="C9" t="s">
        <v>12</v>
      </c>
      <c r="F9" t="s">
        <v>4</v>
      </c>
    </row>
    <row r="10" spans="1:7">
      <c r="A10" t="s">
        <v>13</v>
      </c>
      <c r="B10" s="10">
        <v>629</v>
      </c>
      <c r="C10" t="s">
        <v>14</v>
      </c>
      <c r="F10" t="s">
        <v>4</v>
      </c>
    </row>
    <row r="11" spans="1:7">
      <c r="A11" t="s">
        <v>15</v>
      </c>
      <c r="B11" s="10">
        <v>15000</v>
      </c>
      <c r="C11" t="s">
        <v>16</v>
      </c>
      <c r="D11">
        <f>15000/16</f>
        <v>937.5</v>
      </c>
      <c r="G11" t="s">
        <v>4</v>
      </c>
    </row>
    <row r="12" spans="1:7">
      <c r="A12" t="s">
        <v>17</v>
      </c>
      <c r="B12" s="10">
        <v>482</v>
      </c>
      <c r="F12" t="s">
        <v>4</v>
      </c>
    </row>
    <row r="13" spans="1:7">
      <c r="A13" t="s">
        <v>18</v>
      </c>
      <c r="B13" s="10">
        <v>12038</v>
      </c>
      <c r="C13" t="s">
        <v>19</v>
      </c>
      <c r="F13" t="s">
        <v>4</v>
      </c>
    </row>
    <row r="14" spans="1:7">
      <c r="A14" t="s">
        <v>20</v>
      </c>
      <c r="B14" s="10">
        <v>1010</v>
      </c>
      <c r="F14" t="s">
        <v>4</v>
      </c>
    </row>
    <row r="15" spans="1:7">
      <c r="B15" s="10"/>
    </row>
    <row r="16" spans="1:7">
      <c r="B16" s="10"/>
    </row>
    <row r="17" spans="1:2">
      <c r="A17" t="s">
        <v>21</v>
      </c>
      <c r="B17" s="10">
        <f>SUM(B4:B14)</f>
        <v>55077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3"/>
  <sheetViews>
    <sheetView workbookViewId="0">
      <selection activeCell="B4" sqref="B4:B25"/>
    </sheetView>
  </sheetViews>
  <sheetFormatPr defaultRowHeight="15"/>
  <cols>
    <col min="1" max="1" width="11.140625" bestFit="1" customWidth="1"/>
    <col min="3" max="3" width="10.28515625" bestFit="1" customWidth="1"/>
    <col min="4" max="4" width="56.7109375" bestFit="1" customWidth="1"/>
    <col min="5" max="5" width="18.85546875" bestFit="1" customWidth="1"/>
    <col min="6" max="6" width="10.28515625" bestFit="1" customWidth="1"/>
  </cols>
  <sheetData>
    <row r="2" spans="1:7">
      <c r="C2" t="s">
        <v>22</v>
      </c>
      <c r="F2" t="s">
        <v>23</v>
      </c>
      <c r="G2" t="s">
        <v>24</v>
      </c>
    </row>
    <row r="3" spans="1:7">
      <c r="A3" s="1" t="s">
        <v>25</v>
      </c>
      <c r="B3" s="2" t="s">
        <v>26</v>
      </c>
      <c r="C3" s="2" t="s">
        <v>27</v>
      </c>
      <c r="D3" s="2" t="s">
        <v>28</v>
      </c>
      <c r="E3" s="3" t="s">
        <v>29</v>
      </c>
      <c r="F3" s="3" t="s">
        <v>30</v>
      </c>
      <c r="G3" t="s">
        <v>31</v>
      </c>
    </row>
    <row r="4" spans="1:7">
      <c r="A4" s="4">
        <v>45697</v>
      </c>
      <c r="B4" s="6">
        <v>0</v>
      </c>
      <c r="C4" s="6">
        <v>17000</v>
      </c>
      <c r="D4" s="5" t="s">
        <v>32</v>
      </c>
      <c r="E4" s="7"/>
      <c r="F4" s="11">
        <v>17000</v>
      </c>
      <c r="G4" s="10">
        <f>C4-F4</f>
        <v>0</v>
      </c>
    </row>
    <row r="5" spans="1:7">
      <c r="A5" s="4">
        <v>45698</v>
      </c>
      <c r="B5" s="6">
        <v>-1200</v>
      </c>
      <c r="C5" s="6">
        <f>C4+B5</f>
        <v>15800</v>
      </c>
      <c r="D5" s="5" t="s">
        <v>33</v>
      </c>
      <c r="E5" s="7" t="s">
        <v>34</v>
      </c>
      <c r="F5" s="11"/>
      <c r="G5" s="10"/>
    </row>
    <row r="6" spans="1:7">
      <c r="A6" s="4">
        <v>45699</v>
      </c>
      <c r="B6" s="6">
        <v>-3000</v>
      </c>
      <c r="C6" s="6">
        <f>C5+B6</f>
        <v>12800</v>
      </c>
      <c r="D6" s="5" t="s">
        <v>35</v>
      </c>
      <c r="E6" s="7" t="s">
        <v>36</v>
      </c>
      <c r="F6" s="11"/>
      <c r="G6" s="10"/>
    </row>
    <row r="7" spans="1:7">
      <c r="A7" s="4">
        <v>45701</v>
      </c>
      <c r="B7" s="5">
        <v>-500</v>
      </c>
      <c r="C7" s="6">
        <f t="shared" ref="C7:C25" si="0">C6+B7</f>
        <v>12300</v>
      </c>
      <c r="D7" s="5" t="s">
        <v>37</v>
      </c>
      <c r="E7" s="7" t="s">
        <v>36</v>
      </c>
      <c r="F7" s="11"/>
      <c r="G7" s="10"/>
    </row>
    <row r="8" spans="1:7">
      <c r="A8" s="4">
        <v>45701</v>
      </c>
      <c r="B8" s="6">
        <v>-1000</v>
      </c>
      <c r="C8" s="6">
        <f t="shared" si="0"/>
        <v>11300</v>
      </c>
      <c r="D8" s="5" t="s">
        <v>38</v>
      </c>
      <c r="E8" s="7" t="s">
        <v>34</v>
      </c>
      <c r="F8" s="12">
        <v>13084</v>
      </c>
      <c r="G8" s="10">
        <f>IF(F8&lt;&gt;0,F8-C8,"")</f>
        <v>1784</v>
      </c>
    </row>
    <row r="9" spans="1:7">
      <c r="A9" s="4">
        <v>45702</v>
      </c>
      <c r="B9" s="5">
        <v>-500</v>
      </c>
      <c r="C9" s="6">
        <f t="shared" si="0"/>
        <v>10800</v>
      </c>
      <c r="D9" s="5" t="s">
        <v>37</v>
      </c>
      <c r="E9" s="7" t="s">
        <v>36</v>
      </c>
      <c r="F9" s="11">
        <v>13084</v>
      </c>
      <c r="G9" s="10">
        <f t="shared" ref="G9:G25" si="1">IF(F9&lt;&gt;0,F9-C9,"")</f>
        <v>2284</v>
      </c>
    </row>
    <row r="10" spans="1:7">
      <c r="A10" s="4">
        <v>45703</v>
      </c>
      <c r="B10" s="5">
        <v>-500</v>
      </c>
      <c r="C10" s="6">
        <f t="shared" si="0"/>
        <v>10300</v>
      </c>
      <c r="D10" s="5" t="s">
        <v>37</v>
      </c>
      <c r="E10" s="7" t="s">
        <v>36</v>
      </c>
      <c r="F10" s="11"/>
      <c r="G10" s="10" t="str">
        <f t="shared" si="1"/>
        <v/>
      </c>
    </row>
    <row r="11" spans="1:7">
      <c r="A11" s="4">
        <v>45704</v>
      </c>
      <c r="B11" s="5">
        <v>-500</v>
      </c>
      <c r="C11" s="6">
        <f t="shared" si="0"/>
        <v>9800</v>
      </c>
      <c r="D11" s="5" t="s">
        <v>37</v>
      </c>
      <c r="E11" s="7" t="s">
        <v>36</v>
      </c>
      <c r="F11" s="12">
        <v>12912</v>
      </c>
      <c r="G11" s="10">
        <f t="shared" si="1"/>
        <v>3112</v>
      </c>
    </row>
    <row r="12" spans="1:7">
      <c r="A12" s="4">
        <v>45705</v>
      </c>
      <c r="B12" s="5">
        <v>-500</v>
      </c>
      <c r="C12" s="6">
        <f>C11+B12</f>
        <v>9300</v>
      </c>
      <c r="D12" s="5" t="s">
        <v>37</v>
      </c>
      <c r="E12" s="7" t="s">
        <v>36</v>
      </c>
      <c r="F12" s="11">
        <v>12657</v>
      </c>
      <c r="G12" s="10">
        <f t="shared" si="1"/>
        <v>3357</v>
      </c>
    </row>
    <row r="13" spans="1:7">
      <c r="A13" s="4">
        <v>45706</v>
      </c>
      <c r="B13" s="5">
        <v>-500</v>
      </c>
      <c r="C13" s="6">
        <f t="shared" si="0"/>
        <v>8800</v>
      </c>
      <c r="D13" s="5" t="s">
        <v>37</v>
      </c>
      <c r="E13" s="7" t="s">
        <v>36</v>
      </c>
      <c r="F13" s="12">
        <v>10089</v>
      </c>
      <c r="G13" s="10">
        <f t="shared" si="1"/>
        <v>1289</v>
      </c>
    </row>
    <row r="14" spans="1:7">
      <c r="A14" s="4">
        <v>45707</v>
      </c>
      <c r="B14" s="5">
        <v>-500</v>
      </c>
      <c r="C14" s="6">
        <f t="shared" si="0"/>
        <v>8300</v>
      </c>
      <c r="D14" s="5" t="s">
        <v>37</v>
      </c>
      <c r="E14" s="7" t="s">
        <v>36</v>
      </c>
      <c r="F14" s="11">
        <f t="shared" ref="F14:F25" si="2">F13</f>
        <v>10089</v>
      </c>
      <c r="G14" s="10">
        <f t="shared" si="1"/>
        <v>1789</v>
      </c>
    </row>
    <row r="15" spans="1:7">
      <c r="A15" s="4">
        <v>45708</v>
      </c>
      <c r="B15" s="5">
        <v>-500</v>
      </c>
      <c r="C15" s="6">
        <f t="shared" si="0"/>
        <v>7800</v>
      </c>
      <c r="D15" s="5" t="s">
        <v>37</v>
      </c>
      <c r="E15" s="7" t="s">
        <v>36</v>
      </c>
      <c r="F15" s="11">
        <f t="shared" si="2"/>
        <v>10089</v>
      </c>
      <c r="G15" s="10">
        <f t="shared" si="1"/>
        <v>2289</v>
      </c>
    </row>
    <row r="16" spans="1:7">
      <c r="A16" s="4">
        <v>45708</v>
      </c>
      <c r="B16" s="5">
        <v>-700</v>
      </c>
      <c r="C16" s="6">
        <f>C15+B16</f>
        <v>7100</v>
      </c>
      <c r="D16" s="5" t="s">
        <v>39</v>
      </c>
      <c r="E16" s="7" t="s">
        <v>40</v>
      </c>
      <c r="F16" s="11">
        <f t="shared" si="2"/>
        <v>10089</v>
      </c>
      <c r="G16" s="10">
        <f t="shared" si="1"/>
        <v>2989</v>
      </c>
    </row>
    <row r="17" spans="1:7">
      <c r="A17" s="4">
        <v>45708</v>
      </c>
      <c r="B17" s="6">
        <v>-2000</v>
      </c>
      <c r="C17" s="6">
        <f t="shared" si="0"/>
        <v>5100</v>
      </c>
      <c r="D17" s="5" t="s">
        <v>41</v>
      </c>
      <c r="E17" s="7" t="s">
        <v>34</v>
      </c>
      <c r="F17" s="12">
        <v>7362</v>
      </c>
      <c r="G17" s="10">
        <f t="shared" si="1"/>
        <v>2262</v>
      </c>
    </row>
    <row r="18" spans="1:7">
      <c r="A18" s="4">
        <v>45709</v>
      </c>
      <c r="B18" s="5">
        <v>-500</v>
      </c>
      <c r="C18" s="6">
        <f t="shared" si="0"/>
        <v>4600</v>
      </c>
      <c r="D18" s="5" t="s">
        <v>37</v>
      </c>
      <c r="E18" s="7" t="s">
        <v>36</v>
      </c>
      <c r="F18" s="11">
        <f t="shared" si="2"/>
        <v>7362</v>
      </c>
      <c r="G18" s="10">
        <f t="shared" si="1"/>
        <v>2762</v>
      </c>
    </row>
    <row r="19" spans="1:7">
      <c r="A19" s="4">
        <v>45710</v>
      </c>
      <c r="B19" s="5">
        <v>-500</v>
      </c>
      <c r="C19" s="6">
        <f t="shared" si="0"/>
        <v>4100</v>
      </c>
      <c r="D19" s="5" t="s">
        <v>37</v>
      </c>
      <c r="E19" s="7" t="s">
        <v>36</v>
      </c>
      <c r="F19" s="11">
        <f t="shared" si="2"/>
        <v>7362</v>
      </c>
      <c r="G19" s="10">
        <f t="shared" si="1"/>
        <v>3262</v>
      </c>
    </row>
    <row r="20" spans="1:7">
      <c r="A20" s="4">
        <v>45711</v>
      </c>
      <c r="B20" s="5">
        <v>-500</v>
      </c>
      <c r="C20" s="6">
        <f t="shared" si="0"/>
        <v>3600</v>
      </c>
      <c r="D20" s="5" t="s">
        <v>37</v>
      </c>
      <c r="E20" s="7" t="s">
        <v>36</v>
      </c>
      <c r="F20" s="12">
        <v>4853</v>
      </c>
      <c r="G20" s="10">
        <f t="shared" si="1"/>
        <v>1253</v>
      </c>
    </row>
    <row r="21" spans="1:7">
      <c r="A21" s="4">
        <v>45712</v>
      </c>
      <c r="B21" s="5">
        <v>-500</v>
      </c>
      <c r="C21" s="6">
        <f>C20+B21</f>
        <v>3100</v>
      </c>
      <c r="D21" s="5" t="s">
        <v>37</v>
      </c>
      <c r="E21" s="7" t="s">
        <v>36</v>
      </c>
      <c r="F21" s="11">
        <f t="shared" si="2"/>
        <v>4853</v>
      </c>
      <c r="G21" s="10">
        <f t="shared" si="1"/>
        <v>1753</v>
      </c>
    </row>
    <row r="22" spans="1:7">
      <c r="A22" s="4">
        <v>45712</v>
      </c>
      <c r="B22" s="14">
        <v>-2000</v>
      </c>
      <c r="C22" s="13">
        <f>C21+B22</f>
        <v>1100</v>
      </c>
      <c r="D22" s="5" t="s">
        <v>42</v>
      </c>
      <c r="E22" s="7" t="s">
        <v>40</v>
      </c>
      <c r="F22" s="15">
        <v>2569</v>
      </c>
      <c r="G22" s="10">
        <f t="shared" si="1"/>
        <v>1469</v>
      </c>
    </row>
    <row r="23" spans="1:7">
      <c r="A23" s="4">
        <v>45713</v>
      </c>
      <c r="B23" s="5">
        <v>-500</v>
      </c>
      <c r="C23" s="6">
        <f>C21+B23</f>
        <v>2600</v>
      </c>
      <c r="D23" s="5" t="s">
        <v>37</v>
      </c>
      <c r="E23" s="7" t="s">
        <v>36</v>
      </c>
      <c r="F23" s="11">
        <f>F22</f>
        <v>2569</v>
      </c>
      <c r="G23" s="10">
        <f>IF(F23&lt;&gt;0,F23-C23,"")</f>
        <v>-31</v>
      </c>
    </row>
    <row r="24" spans="1:7">
      <c r="A24" s="4">
        <v>45714</v>
      </c>
      <c r="B24" s="5">
        <v>-500</v>
      </c>
      <c r="C24" s="6">
        <f t="shared" si="0"/>
        <v>2100</v>
      </c>
      <c r="D24" s="5" t="s">
        <v>37</v>
      </c>
      <c r="E24" s="7" t="s">
        <v>36</v>
      </c>
      <c r="F24" s="11">
        <f t="shared" si="2"/>
        <v>2569</v>
      </c>
      <c r="G24" s="10">
        <f t="shared" si="1"/>
        <v>469</v>
      </c>
    </row>
    <row r="25" spans="1:7">
      <c r="A25" s="4">
        <v>45715</v>
      </c>
      <c r="B25" s="6">
        <v>-1000</v>
      </c>
      <c r="C25" s="6">
        <f t="shared" si="0"/>
        <v>1100</v>
      </c>
      <c r="D25" s="5" t="s">
        <v>38</v>
      </c>
      <c r="E25" s="7" t="s">
        <v>34</v>
      </c>
      <c r="F25" s="11">
        <f t="shared" si="2"/>
        <v>2569</v>
      </c>
      <c r="G25" s="10">
        <f t="shared" si="1"/>
        <v>1469</v>
      </c>
    </row>
    <row r="26" spans="1:7">
      <c r="F26" s="10"/>
      <c r="G26" s="10"/>
    </row>
    <row r="27" spans="1:7">
      <c r="F27" s="10"/>
      <c r="G27" s="10"/>
    </row>
    <row r="28" spans="1:7">
      <c r="F28" s="10"/>
      <c r="G28" s="10"/>
    </row>
    <row r="29" spans="1:7">
      <c r="F29" s="10"/>
      <c r="G29" s="10"/>
    </row>
    <row r="30" spans="1:7">
      <c r="F30" s="10"/>
      <c r="G30" s="10"/>
    </row>
    <row r="31" spans="1:7">
      <c r="F31" s="10"/>
      <c r="G31" s="10"/>
    </row>
    <row r="32" spans="1:7">
      <c r="F32" s="10"/>
      <c r="G32" s="10"/>
    </row>
    <row r="33" spans="6:7">
      <c r="F33" s="10"/>
      <c r="G3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E84D-61A8-412D-BAE0-BEA19B98536A}">
  <sheetPr filterMode="1"/>
  <dimension ref="A1:H63"/>
  <sheetViews>
    <sheetView tabSelected="1" topLeftCell="A24" workbookViewId="0">
      <selection activeCell="E60" sqref="E60"/>
    </sheetView>
  </sheetViews>
  <sheetFormatPr defaultRowHeight="15"/>
  <cols>
    <col min="1" max="1" width="10.42578125" bestFit="1" customWidth="1"/>
    <col min="2" max="2" width="35.140625" bestFit="1" customWidth="1"/>
    <col min="3" max="3" width="16.85546875" bestFit="1" customWidth="1"/>
    <col min="4" max="4" width="12.140625" bestFit="1" customWidth="1"/>
    <col min="5" max="5" width="11.85546875" bestFit="1" customWidth="1"/>
    <col min="6" max="6" width="11.140625" bestFit="1" customWidth="1"/>
  </cols>
  <sheetData>
    <row r="1" spans="1:8">
      <c r="A1" s="9" t="s">
        <v>25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H1" s="9" t="s">
        <v>48</v>
      </c>
    </row>
    <row r="2" spans="1:8" hidden="1">
      <c r="A2" s="8">
        <v>45716</v>
      </c>
      <c r="B2" t="s">
        <v>49</v>
      </c>
      <c r="C2" t="s">
        <v>50</v>
      </c>
      <c r="D2" t="s">
        <v>51</v>
      </c>
      <c r="E2" s="16">
        <v>-518</v>
      </c>
    </row>
    <row r="3" spans="1:8" hidden="1">
      <c r="A3" s="8">
        <v>45713</v>
      </c>
      <c r="B3" t="s">
        <v>52</v>
      </c>
      <c r="C3" t="s">
        <v>53</v>
      </c>
      <c r="D3" t="s">
        <v>51</v>
      </c>
      <c r="E3" s="16">
        <v>-9500</v>
      </c>
      <c r="F3" s="16">
        <v>2569.9299999999998</v>
      </c>
    </row>
    <row r="4" spans="1:8">
      <c r="A4" s="8">
        <v>45715</v>
      </c>
      <c r="B4" t="s">
        <v>54</v>
      </c>
      <c r="C4" t="s">
        <v>55</v>
      </c>
      <c r="D4" t="s">
        <v>51</v>
      </c>
      <c r="E4" s="16">
        <v>786.15</v>
      </c>
      <c r="F4" s="16"/>
      <c r="H4" t="s">
        <v>4</v>
      </c>
    </row>
    <row r="5" spans="1:8">
      <c r="A5" s="8">
        <v>45712</v>
      </c>
      <c r="B5" t="s">
        <v>56</v>
      </c>
      <c r="C5" t="s">
        <v>51</v>
      </c>
      <c r="D5" t="s">
        <v>51</v>
      </c>
      <c r="E5" s="16">
        <v>-20</v>
      </c>
      <c r="F5" s="16">
        <v>12069.93</v>
      </c>
      <c r="H5" t="s">
        <v>4</v>
      </c>
    </row>
    <row r="6" spans="1:8">
      <c r="A6" s="8">
        <v>45712</v>
      </c>
      <c r="B6" t="s">
        <v>57</v>
      </c>
      <c r="C6" t="s">
        <v>53</v>
      </c>
      <c r="D6" t="s">
        <v>51</v>
      </c>
      <c r="E6" s="16">
        <v>-1285.6500000000001</v>
      </c>
      <c r="F6" s="16">
        <v>12089.93</v>
      </c>
      <c r="H6" t="s">
        <v>4</v>
      </c>
    </row>
    <row r="7" spans="1:8">
      <c r="A7" s="8">
        <v>45712</v>
      </c>
      <c r="B7" t="s">
        <v>56</v>
      </c>
      <c r="C7" t="s">
        <v>51</v>
      </c>
      <c r="D7" t="s">
        <v>51</v>
      </c>
      <c r="E7" s="16">
        <v>-20</v>
      </c>
      <c r="F7" s="16">
        <v>13375.58</v>
      </c>
      <c r="H7" t="s">
        <v>4</v>
      </c>
    </row>
    <row r="8" spans="1:8">
      <c r="A8" s="8">
        <v>45712</v>
      </c>
      <c r="B8" t="s">
        <v>57</v>
      </c>
      <c r="C8" t="s">
        <v>53</v>
      </c>
      <c r="D8" t="s">
        <v>51</v>
      </c>
      <c r="E8" s="16">
        <v>-1285.6500000000001</v>
      </c>
      <c r="F8" s="16">
        <v>13395.58</v>
      </c>
      <c r="H8" t="s">
        <v>4</v>
      </c>
    </row>
    <row r="9" spans="1:8">
      <c r="A9" s="8">
        <v>45712</v>
      </c>
      <c r="B9" t="s">
        <v>56</v>
      </c>
      <c r="C9" t="s">
        <v>51</v>
      </c>
      <c r="D9" t="s">
        <v>51</v>
      </c>
      <c r="E9" s="16">
        <v>-20</v>
      </c>
      <c r="F9" s="16">
        <v>14681.23</v>
      </c>
      <c r="H9" t="s">
        <v>4</v>
      </c>
    </row>
    <row r="10" spans="1:8">
      <c r="A10" s="8">
        <v>45712</v>
      </c>
      <c r="B10" t="s">
        <v>56</v>
      </c>
      <c r="C10" t="s">
        <v>51</v>
      </c>
      <c r="D10" t="s">
        <v>51</v>
      </c>
      <c r="E10" s="16">
        <v>-20</v>
      </c>
      <c r="F10" s="16">
        <v>14701.23</v>
      </c>
      <c r="H10" t="s">
        <v>4</v>
      </c>
    </row>
    <row r="11" spans="1:8" hidden="1">
      <c r="A11" s="8">
        <v>45712</v>
      </c>
      <c r="B11" t="s">
        <v>58</v>
      </c>
      <c r="C11" t="s">
        <v>59</v>
      </c>
      <c r="D11" t="s">
        <v>51</v>
      </c>
      <c r="E11" s="16">
        <v>330</v>
      </c>
      <c r="F11" s="16">
        <v>14721.23</v>
      </c>
    </row>
    <row r="12" spans="1:8" hidden="1">
      <c r="A12" s="8">
        <v>45712</v>
      </c>
      <c r="B12" t="s">
        <v>60</v>
      </c>
      <c r="C12" t="s">
        <v>59</v>
      </c>
      <c r="D12" t="s">
        <v>51</v>
      </c>
      <c r="E12" s="16">
        <v>9600</v>
      </c>
      <c r="F12" s="16">
        <v>14391.23</v>
      </c>
    </row>
    <row r="13" spans="1:8">
      <c r="A13" s="8">
        <v>45711</v>
      </c>
      <c r="B13" t="s">
        <v>57</v>
      </c>
      <c r="C13" t="s">
        <v>53</v>
      </c>
      <c r="D13" t="s">
        <v>51</v>
      </c>
      <c r="E13" s="16">
        <v>-1285.6500000000001</v>
      </c>
      <c r="F13" s="16">
        <v>4791.2299999999996</v>
      </c>
      <c r="H13" t="s">
        <v>4</v>
      </c>
    </row>
    <row r="14" spans="1:8">
      <c r="A14" s="8">
        <v>45711</v>
      </c>
      <c r="B14" t="s">
        <v>57</v>
      </c>
      <c r="C14" t="s">
        <v>53</v>
      </c>
      <c r="D14" t="s">
        <v>51</v>
      </c>
      <c r="E14" s="16">
        <v>-1285.6500000000001</v>
      </c>
      <c r="F14" s="16">
        <v>6076.88</v>
      </c>
      <c r="H14" t="s">
        <v>4</v>
      </c>
    </row>
    <row r="15" spans="1:8">
      <c r="A15" s="8">
        <v>45708</v>
      </c>
      <c r="B15" t="s">
        <v>56</v>
      </c>
      <c r="C15" t="s">
        <v>51</v>
      </c>
      <c r="D15" t="s">
        <v>51</v>
      </c>
      <c r="E15" s="16">
        <v>-20</v>
      </c>
      <c r="F15" s="16">
        <v>7362.53</v>
      </c>
      <c r="H15" t="s">
        <v>4</v>
      </c>
    </row>
    <row r="16" spans="1:8">
      <c r="A16" s="8">
        <v>45708</v>
      </c>
      <c r="B16" t="s">
        <v>61</v>
      </c>
      <c r="C16" t="s">
        <v>53</v>
      </c>
      <c r="D16" t="s">
        <v>51</v>
      </c>
      <c r="E16" s="16">
        <v>-1291.33</v>
      </c>
      <c r="F16" s="16">
        <v>7382.53</v>
      </c>
      <c r="H16" t="s">
        <v>4</v>
      </c>
    </row>
    <row r="17" spans="1:8">
      <c r="A17" s="8">
        <v>45708</v>
      </c>
      <c r="B17" t="s">
        <v>56</v>
      </c>
      <c r="C17" t="s">
        <v>51</v>
      </c>
      <c r="D17" t="s">
        <v>51</v>
      </c>
      <c r="E17" s="16">
        <v>-20</v>
      </c>
      <c r="F17" s="16">
        <v>8673.86</v>
      </c>
      <c r="H17" t="s">
        <v>4</v>
      </c>
    </row>
    <row r="18" spans="1:8">
      <c r="A18" s="8">
        <v>45708</v>
      </c>
      <c r="B18" t="s">
        <v>61</v>
      </c>
      <c r="C18" t="s">
        <v>53</v>
      </c>
      <c r="D18" t="s">
        <v>51</v>
      </c>
      <c r="E18" s="16">
        <v>-1291.33</v>
      </c>
      <c r="F18" s="16">
        <v>8693.86</v>
      </c>
      <c r="H18" t="s">
        <v>4</v>
      </c>
    </row>
    <row r="19" spans="1:8">
      <c r="A19" s="8">
        <v>45706</v>
      </c>
      <c r="B19" t="s">
        <v>56</v>
      </c>
      <c r="C19" t="s">
        <v>51</v>
      </c>
      <c r="D19" t="s">
        <v>51</v>
      </c>
      <c r="E19" s="16">
        <v>-20</v>
      </c>
      <c r="F19" s="16">
        <v>9985.19</v>
      </c>
      <c r="H19" t="s">
        <v>4</v>
      </c>
    </row>
    <row r="20" spans="1:8">
      <c r="A20" s="8">
        <v>45706</v>
      </c>
      <c r="B20" t="s">
        <v>57</v>
      </c>
      <c r="C20" t="s">
        <v>53</v>
      </c>
      <c r="D20" t="s">
        <v>51</v>
      </c>
      <c r="E20" s="16">
        <v>-1289.3900000000001</v>
      </c>
      <c r="F20" s="16">
        <v>10005.19</v>
      </c>
      <c r="H20" t="s">
        <v>4</v>
      </c>
    </row>
    <row r="21" spans="1:8">
      <c r="A21" s="8">
        <v>45706</v>
      </c>
      <c r="B21" t="s">
        <v>56</v>
      </c>
      <c r="C21" t="s">
        <v>51</v>
      </c>
      <c r="D21" t="s">
        <v>51</v>
      </c>
      <c r="E21" s="16">
        <v>-20</v>
      </c>
      <c r="F21" s="16">
        <v>11294.58</v>
      </c>
      <c r="H21" t="s">
        <v>4</v>
      </c>
    </row>
    <row r="22" spans="1:8">
      <c r="A22" s="8">
        <v>45706</v>
      </c>
      <c r="B22" t="s">
        <v>61</v>
      </c>
      <c r="C22" t="s">
        <v>53</v>
      </c>
      <c r="D22" t="s">
        <v>51</v>
      </c>
      <c r="E22" s="16">
        <v>-1289.3900000000001</v>
      </c>
      <c r="F22" s="16">
        <v>11314.58</v>
      </c>
      <c r="H22" t="s">
        <v>4</v>
      </c>
    </row>
    <row r="23" spans="1:8">
      <c r="A23" s="8">
        <v>45705</v>
      </c>
      <c r="B23" t="s">
        <v>62</v>
      </c>
      <c r="C23" t="s">
        <v>63</v>
      </c>
      <c r="D23" t="s">
        <v>51</v>
      </c>
      <c r="E23" s="16">
        <v>-256.32</v>
      </c>
      <c r="F23" s="16">
        <v>12603.97</v>
      </c>
      <c r="H23" t="s">
        <v>4</v>
      </c>
    </row>
    <row r="24" spans="1:8">
      <c r="A24" s="8">
        <v>45705</v>
      </c>
      <c r="B24" t="s">
        <v>56</v>
      </c>
      <c r="C24" t="s">
        <v>51</v>
      </c>
      <c r="D24" t="s">
        <v>51</v>
      </c>
      <c r="E24" s="16">
        <v>-20</v>
      </c>
      <c r="F24" s="16">
        <v>12860.29</v>
      </c>
      <c r="H24" t="s">
        <v>4</v>
      </c>
    </row>
    <row r="25" spans="1:8">
      <c r="A25" s="8">
        <v>45704</v>
      </c>
      <c r="B25" t="s">
        <v>57</v>
      </c>
      <c r="C25" t="s">
        <v>53</v>
      </c>
      <c r="D25" t="s">
        <v>51</v>
      </c>
      <c r="E25" s="16">
        <v>-1307.21</v>
      </c>
      <c r="F25" s="16">
        <v>12880.29</v>
      </c>
      <c r="H25" t="s">
        <v>4</v>
      </c>
    </row>
    <row r="26" spans="1:8" hidden="1">
      <c r="A26" s="8">
        <v>45704</v>
      </c>
      <c r="B26" t="s">
        <v>64</v>
      </c>
      <c r="C26" t="s">
        <v>59</v>
      </c>
      <c r="D26" t="s">
        <v>51</v>
      </c>
      <c r="E26" s="16">
        <v>330</v>
      </c>
      <c r="F26" s="16">
        <v>14187.5</v>
      </c>
    </row>
    <row r="27" spans="1:8" hidden="1">
      <c r="A27" s="8">
        <v>45704</v>
      </c>
      <c r="B27" t="s">
        <v>65</v>
      </c>
      <c r="C27" t="s">
        <v>59</v>
      </c>
      <c r="D27" t="s">
        <v>51</v>
      </c>
      <c r="E27" s="16">
        <v>773</v>
      </c>
      <c r="F27" s="16">
        <v>13857.5</v>
      </c>
    </row>
    <row r="28" spans="1:8">
      <c r="A28" s="8">
        <v>45701</v>
      </c>
      <c r="B28" t="s">
        <v>56</v>
      </c>
      <c r="C28" t="s">
        <v>51</v>
      </c>
      <c r="D28" t="s">
        <v>51</v>
      </c>
      <c r="E28" s="16">
        <v>-20</v>
      </c>
      <c r="F28" s="16">
        <v>13084.5</v>
      </c>
      <c r="H28" t="s">
        <v>4</v>
      </c>
    </row>
    <row r="29" spans="1:8">
      <c r="A29" s="8">
        <v>45701</v>
      </c>
      <c r="B29" t="s">
        <v>66</v>
      </c>
      <c r="C29" t="s">
        <v>53</v>
      </c>
      <c r="D29" t="s">
        <v>51</v>
      </c>
      <c r="E29" s="16">
        <v>-773.98</v>
      </c>
      <c r="F29" s="16">
        <v>13104.5</v>
      </c>
      <c r="H29" t="s">
        <v>4</v>
      </c>
    </row>
    <row r="30" spans="1:8">
      <c r="A30" s="8">
        <v>45699</v>
      </c>
      <c r="B30" t="s">
        <v>56</v>
      </c>
      <c r="C30" t="s">
        <v>51</v>
      </c>
      <c r="D30" t="s">
        <v>51</v>
      </c>
      <c r="E30" s="16">
        <v>-20</v>
      </c>
      <c r="F30" s="16">
        <v>13878.48</v>
      </c>
      <c r="H30" t="s">
        <v>4</v>
      </c>
    </row>
    <row r="31" spans="1:8">
      <c r="A31" s="8">
        <v>45699</v>
      </c>
      <c r="B31" t="s">
        <v>67</v>
      </c>
      <c r="C31" t="s">
        <v>53</v>
      </c>
      <c r="D31" t="s">
        <v>51</v>
      </c>
      <c r="E31" s="16">
        <v>-839.72</v>
      </c>
      <c r="F31" s="16">
        <v>13898.48</v>
      </c>
      <c r="H31" t="s">
        <v>4</v>
      </c>
    </row>
    <row r="32" spans="1:8">
      <c r="A32" s="8">
        <v>45698</v>
      </c>
      <c r="B32" t="s">
        <v>68</v>
      </c>
      <c r="C32" t="s">
        <v>63</v>
      </c>
      <c r="D32" t="s">
        <v>51</v>
      </c>
      <c r="E32" s="16">
        <v>-1564</v>
      </c>
      <c r="F32" s="16">
        <v>14738.2</v>
      </c>
      <c r="H32" t="s">
        <v>4</v>
      </c>
    </row>
    <row r="33" spans="1:8">
      <c r="A33" s="8">
        <v>45698</v>
      </c>
      <c r="B33" t="s">
        <v>68</v>
      </c>
      <c r="C33" t="s">
        <v>63</v>
      </c>
      <c r="D33" t="s">
        <v>51</v>
      </c>
      <c r="E33" s="16">
        <v>-113</v>
      </c>
      <c r="F33" s="16">
        <v>16302.2</v>
      </c>
      <c r="H33" t="s">
        <v>4</v>
      </c>
    </row>
    <row r="34" spans="1:8">
      <c r="A34" s="8">
        <v>45698</v>
      </c>
      <c r="B34" t="s">
        <v>69</v>
      </c>
      <c r="C34" t="s">
        <v>63</v>
      </c>
      <c r="D34" t="s">
        <v>51</v>
      </c>
      <c r="E34" s="16">
        <v>-207.08</v>
      </c>
      <c r="F34" s="16">
        <v>16415.2</v>
      </c>
      <c r="H34" t="s">
        <v>4</v>
      </c>
    </row>
    <row r="35" spans="1:8">
      <c r="A35" s="8">
        <v>45698</v>
      </c>
      <c r="B35" t="s">
        <v>69</v>
      </c>
      <c r="C35" t="s">
        <v>63</v>
      </c>
      <c r="D35" t="s">
        <v>51</v>
      </c>
      <c r="E35" s="16">
        <v>-200.8</v>
      </c>
      <c r="F35" s="16">
        <v>16622.28</v>
      </c>
      <c r="H35" t="s">
        <v>4</v>
      </c>
    </row>
    <row r="36" spans="1:8" hidden="1">
      <c r="A36" s="8">
        <v>45698</v>
      </c>
      <c r="B36" t="s">
        <v>70</v>
      </c>
      <c r="C36" t="s">
        <v>63</v>
      </c>
      <c r="D36" t="s">
        <v>51</v>
      </c>
      <c r="E36" s="16">
        <v>-142</v>
      </c>
      <c r="F36" s="16">
        <v>16823.080000000002</v>
      </c>
    </row>
    <row r="37" spans="1:8" hidden="1">
      <c r="A37" s="8">
        <v>45698</v>
      </c>
      <c r="B37" t="s">
        <v>71</v>
      </c>
      <c r="C37" t="s">
        <v>51</v>
      </c>
      <c r="D37" t="s">
        <v>51</v>
      </c>
      <c r="E37" s="16">
        <v>-35</v>
      </c>
      <c r="F37" s="16">
        <v>16965.080000000002</v>
      </c>
    </row>
    <row r="38" spans="1:8" hidden="1">
      <c r="A38" s="8">
        <v>45697</v>
      </c>
      <c r="B38" t="s">
        <v>72</v>
      </c>
      <c r="C38" t="s">
        <v>63</v>
      </c>
      <c r="D38" t="s">
        <v>51</v>
      </c>
      <c r="E38" s="16">
        <v>-99</v>
      </c>
      <c r="F38" s="16">
        <v>17000.080000000002</v>
      </c>
    </row>
    <row r="39" spans="1:8" hidden="1">
      <c r="A39" s="8">
        <v>45697</v>
      </c>
      <c r="B39" t="s">
        <v>73</v>
      </c>
      <c r="C39" t="s">
        <v>59</v>
      </c>
      <c r="D39" t="s">
        <v>51</v>
      </c>
      <c r="E39" s="16">
        <v>7570</v>
      </c>
      <c r="F39" s="16">
        <v>17099.080000000002</v>
      </c>
    </row>
    <row r="40" spans="1:8" hidden="1">
      <c r="A40" s="8">
        <v>45696</v>
      </c>
      <c r="B40" t="s">
        <v>74</v>
      </c>
      <c r="C40" t="s">
        <v>63</v>
      </c>
      <c r="D40" t="s">
        <v>51</v>
      </c>
      <c r="E40" s="16">
        <v>-290</v>
      </c>
      <c r="F40" s="16">
        <v>9529.08</v>
      </c>
    </row>
    <row r="41" spans="1:8" hidden="1">
      <c r="A41" s="8">
        <v>45695</v>
      </c>
      <c r="B41" t="s">
        <v>75</v>
      </c>
      <c r="C41" t="s">
        <v>53</v>
      </c>
      <c r="D41" t="s">
        <v>51</v>
      </c>
      <c r="E41" s="16">
        <v>-2000</v>
      </c>
      <c r="F41" s="16">
        <v>9819.08</v>
      </c>
    </row>
    <row r="42" spans="1:8" hidden="1">
      <c r="A42" s="8">
        <v>45695</v>
      </c>
      <c r="B42" t="s">
        <v>76</v>
      </c>
      <c r="C42" t="s">
        <v>63</v>
      </c>
      <c r="D42" t="s">
        <v>51</v>
      </c>
      <c r="E42" s="16">
        <v>-219</v>
      </c>
      <c r="F42" s="16">
        <v>11819.08</v>
      </c>
    </row>
    <row r="43" spans="1:8" hidden="1">
      <c r="A43" s="8">
        <v>45695</v>
      </c>
      <c r="B43" t="s">
        <v>77</v>
      </c>
      <c r="C43" t="s">
        <v>59</v>
      </c>
      <c r="D43" t="s">
        <v>51</v>
      </c>
      <c r="E43" s="16">
        <v>10000</v>
      </c>
      <c r="F43" s="16">
        <v>12038.08</v>
      </c>
    </row>
    <row r="44" spans="1:8" hidden="1">
      <c r="A44" s="8">
        <v>45694</v>
      </c>
      <c r="B44" t="s">
        <v>78</v>
      </c>
      <c r="C44" t="s">
        <v>63</v>
      </c>
      <c r="D44" t="s">
        <v>51</v>
      </c>
      <c r="E44" s="16">
        <v>-75</v>
      </c>
      <c r="F44" s="16">
        <v>2038.08</v>
      </c>
    </row>
    <row r="45" spans="1:8" hidden="1">
      <c r="A45" s="8">
        <v>45694</v>
      </c>
      <c r="B45" t="s">
        <v>79</v>
      </c>
      <c r="C45" t="s">
        <v>63</v>
      </c>
      <c r="D45" t="s">
        <v>51</v>
      </c>
      <c r="E45" s="16">
        <v>-26</v>
      </c>
      <c r="F45" s="16">
        <v>2113.08</v>
      </c>
    </row>
    <row r="46" spans="1:8" hidden="1">
      <c r="A46" s="8">
        <v>45693</v>
      </c>
      <c r="B46" t="s">
        <v>80</v>
      </c>
      <c r="C46" t="s">
        <v>63</v>
      </c>
      <c r="D46" t="s">
        <v>51</v>
      </c>
      <c r="E46" s="16">
        <v>-55</v>
      </c>
      <c r="F46" s="16">
        <v>2139.08</v>
      </c>
    </row>
    <row r="47" spans="1:8" hidden="1">
      <c r="A47" s="8">
        <v>45692</v>
      </c>
      <c r="B47" t="s">
        <v>81</v>
      </c>
      <c r="C47" t="s">
        <v>63</v>
      </c>
      <c r="D47" t="s">
        <v>51</v>
      </c>
      <c r="E47" s="16">
        <v>-1546.65</v>
      </c>
      <c r="F47" s="16">
        <v>2194.08</v>
      </c>
    </row>
    <row r="48" spans="1:8" hidden="1">
      <c r="A48" s="8">
        <v>45692</v>
      </c>
      <c r="B48" t="s">
        <v>82</v>
      </c>
      <c r="C48" t="s">
        <v>63</v>
      </c>
      <c r="D48" t="s">
        <v>51</v>
      </c>
      <c r="E48" s="16">
        <v>-56</v>
      </c>
      <c r="F48" s="16">
        <v>3740.73</v>
      </c>
    </row>
    <row r="49" spans="1:6" hidden="1">
      <c r="A49" s="8">
        <v>45692</v>
      </c>
      <c r="B49" t="s">
        <v>83</v>
      </c>
      <c r="C49" t="s">
        <v>63</v>
      </c>
      <c r="D49" t="s">
        <v>51</v>
      </c>
      <c r="E49" s="16">
        <v>-1226.44</v>
      </c>
      <c r="F49" s="16">
        <v>3796.73</v>
      </c>
    </row>
    <row r="50" spans="1:6" hidden="1">
      <c r="A50" s="8">
        <v>45690</v>
      </c>
      <c r="B50" t="s">
        <v>84</v>
      </c>
      <c r="C50" t="s">
        <v>63</v>
      </c>
      <c r="D50" t="s">
        <v>51</v>
      </c>
      <c r="E50" s="16">
        <v>-149</v>
      </c>
      <c r="F50" s="16">
        <v>5023.17</v>
      </c>
    </row>
    <row r="51" spans="1:6" hidden="1">
      <c r="A51" s="8">
        <v>45689</v>
      </c>
      <c r="B51" t="s">
        <v>85</v>
      </c>
      <c r="C51" t="s">
        <v>63</v>
      </c>
      <c r="D51" t="s">
        <v>51</v>
      </c>
      <c r="E51" s="16">
        <v>-598</v>
      </c>
      <c r="F51" s="16">
        <v>5172.17</v>
      </c>
    </row>
    <row r="52" spans="1:6" hidden="1">
      <c r="A52" s="8">
        <v>45689</v>
      </c>
      <c r="B52" t="s">
        <v>86</v>
      </c>
      <c r="C52" t="s">
        <v>63</v>
      </c>
      <c r="D52" t="s">
        <v>51</v>
      </c>
      <c r="E52" s="16">
        <v>-30</v>
      </c>
      <c r="F52" s="16">
        <v>5770.17</v>
      </c>
    </row>
    <row r="53" spans="1:6" hidden="1">
      <c r="A53" s="8">
        <v>45689</v>
      </c>
      <c r="B53" t="s">
        <v>87</v>
      </c>
      <c r="C53" t="s">
        <v>63</v>
      </c>
      <c r="D53" t="s">
        <v>51</v>
      </c>
      <c r="E53" s="16">
        <v>-996</v>
      </c>
      <c r="F53" s="16">
        <v>5800.17</v>
      </c>
    </row>
    <row r="54" spans="1:6" hidden="1">
      <c r="A54" s="8">
        <v>45689</v>
      </c>
      <c r="B54" t="s">
        <v>88</v>
      </c>
      <c r="C54" t="s">
        <v>63</v>
      </c>
      <c r="D54" t="s">
        <v>51</v>
      </c>
      <c r="E54" s="16">
        <v>-192.8</v>
      </c>
      <c r="F54" s="16">
        <v>6796.17</v>
      </c>
    </row>
    <row r="55" spans="1:6" hidden="1">
      <c r="A55" s="8">
        <v>45689</v>
      </c>
      <c r="B55" t="s">
        <v>89</v>
      </c>
      <c r="C55" t="s">
        <v>63</v>
      </c>
      <c r="D55" t="s">
        <v>51</v>
      </c>
      <c r="E55" s="16">
        <v>-86.25</v>
      </c>
      <c r="F55" s="16">
        <v>6988.97</v>
      </c>
    </row>
    <row r="59" spans="1:6">
      <c r="E59" s="16">
        <f>SUBTOTAL(109,E2:E58)</f>
        <v>-14999.999999999996</v>
      </c>
    </row>
    <row r="60" spans="1:6">
      <c r="B60" t="s">
        <v>90</v>
      </c>
      <c r="E60" s="16">
        <f>E59/20</f>
        <v>-749.99999999999977</v>
      </c>
    </row>
    <row r="62" spans="1:6">
      <c r="B62" s="17"/>
    </row>
    <row r="63" spans="1:6">
      <c r="B63" s="17"/>
    </row>
  </sheetData>
  <autoFilter ref="A1:H55" xr:uid="{DFB6E84D-61A8-412D-BAE0-BEA19B98536A}">
    <filterColumn colId="7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D90F988E61904D8EC633770BD24B09" ma:contentTypeVersion="13" ma:contentTypeDescription="Skapa ett nytt dokument." ma:contentTypeScope="" ma:versionID="70ead5f3f2317cc61e82ecb5484b5e24">
  <xsd:schema xmlns:xsd="http://www.w3.org/2001/XMLSchema" xmlns:xs="http://www.w3.org/2001/XMLSchema" xmlns:p="http://schemas.microsoft.com/office/2006/metadata/properties" xmlns:ns2="0d0275f8-4db0-49f2-b345-0bdc5fda63f3" xmlns:ns3="ef04de5a-ef8f-48f2-bbea-36d99277e398" targetNamespace="http://schemas.microsoft.com/office/2006/metadata/properties" ma:root="true" ma:fieldsID="d4a57e1d21fd427a62f3bf9d70565be2" ns2:_="" ns3:_="">
    <xsd:import namespace="0d0275f8-4db0-49f2-b345-0bdc5fda63f3"/>
    <xsd:import namespace="ef04de5a-ef8f-48f2-bbea-36d99277e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0275f8-4db0-49f2-b345-0bdc5fda6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2324ca79-7faf-4dc5-a120-c9581a2436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4de5a-ef8f-48f2-bbea-36d99277e39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662024-0c55-4ba6-bdd2-3dd0073c59d4}" ma:internalName="TaxCatchAll" ma:showField="CatchAllData" ma:web="ef04de5a-ef8f-48f2-bbea-36d99277e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04de5a-ef8f-48f2-bbea-36d99277e398" xsi:nil="true"/>
    <lcf76f155ced4ddcb4097134ff3c332f xmlns="0d0275f8-4db0-49f2-b345-0bdc5fda63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277976-0797-4F6F-81BA-1A7C73322379}"/>
</file>

<file path=customXml/itemProps2.xml><?xml version="1.0" encoding="utf-8"?>
<ds:datastoreItem xmlns:ds="http://schemas.openxmlformats.org/officeDocument/2006/customXml" ds:itemID="{98D44EFB-F565-4A69-B285-6BDB42EAF5CA}"/>
</file>

<file path=customXml/itemProps3.xml><?xml version="1.0" encoding="utf-8"?>
<ds:datastoreItem xmlns:ds="http://schemas.openxmlformats.org/officeDocument/2006/customXml" ds:itemID="{637B0D43-862E-4020-878D-B3FA4D5BB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Clarence Paulson</cp:lastModifiedBy>
  <cp:revision/>
  <dcterms:created xsi:type="dcterms:W3CDTF">2025-02-05T12:23:16Z</dcterms:created>
  <dcterms:modified xsi:type="dcterms:W3CDTF">2025-11-05T13:23:42Z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0x01010016D90F988E61904D8EC633770BD24B09</vt:lpwstr>
  </property>
  <property fmtid="{D5CDD505-2E9C-101B-9397-08002B2CF9AE}" pid="3" name="MediaServiceImageTags">
    <vt:lpwstr/>
  </property>
</Properties>
</file>