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https://cpsab.sharepoint.com/sites/ClarencePrivat/Delade dokument/Resor/2602 Indien Clarence o Erik/89 Resplan/"/>
    </mc:Choice>
  </mc:AlternateContent>
  <xr:revisionPtr revIDLastSave="912" documentId="11_DCAB85DF41FD7B0AF5974820DC34AC6FE2240042" xr6:coauthVersionLast="47" xr6:coauthVersionMax="47" xr10:uidLastSave="{ACF7210D-6D7A-4AE3-9A58-847F464DE5FE}"/>
  <bookViews>
    <workbookView minimized="1" xWindow="3585" yWindow="1095" windowWidth="21600" windowHeight="11295" firstSheet="3" activeTab="1" xr2:uid="{00000000-000D-0000-FFFF-FFFF00000000}"/>
  </bookViews>
  <sheets>
    <sheet name="Resplan" sheetId="1" r:id="rId1"/>
    <sheet name="Avstämning cp &lt;-&gt; ess" sheetId="2" r:id="rId2"/>
    <sheet name="Timeline Delay Expences" sheetId="3" r:id="rId3"/>
    <sheet name="Bolags-clearing" sheetId="4" r:id="rId4"/>
  </sheets>
  <definedNames>
    <definedName name="_xlnm.Print_Area" localSheetId="2">'Timeline Delay Expences'!$A:$J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2" l="1"/>
  <c r="H40" i="2"/>
  <c r="H41" i="2"/>
  <c r="H42" i="2"/>
  <c r="H43" i="2"/>
  <c r="K43" i="2" s="1"/>
  <c r="M43" i="2" s="1"/>
  <c r="H44" i="2"/>
  <c r="H45" i="2"/>
  <c r="H46" i="2"/>
  <c r="H47" i="2"/>
  <c r="H48" i="2"/>
  <c r="H49" i="2"/>
  <c r="H50" i="2"/>
  <c r="H51" i="2"/>
  <c r="K51" i="2" s="1"/>
  <c r="M51" i="2" s="1"/>
  <c r="H52" i="2"/>
  <c r="K52" i="2" s="1"/>
  <c r="M52" i="2" s="1"/>
  <c r="H53" i="2"/>
  <c r="H54" i="2"/>
  <c r="F12" i="4"/>
  <c r="G5" i="4"/>
  <c r="G7" i="4"/>
  <c r="G6" i="4"/>
  <c r="G54" i="2"/>
  <c r="K53" i="2"/>
  <c r="M53" i="2" s="1"/>
  <c r="K54" i="2"/>
  <c r="M54" i="2" s="1"/>
  <c r="K55" i="2"/>
  <c r="M55" i="2" s="1"/>
  <c r="G40" i="2"/>
  <c r="K40" i="2"/>
  <c r="M40" i="2" s="1"/>
  <c r="K41" i="2"/>
  <c r="M41" i="2" s="1"/>
  <c r="G42" i="2"/>
  <c r="K42" i="2"/>
  <c r="M42" i="2" s="1"/>
  <c r="G43" i="2"/>
  <c r="G44" i="2"/>
  <c r="K44" i="2"/>
  <c r="M44" i="2" s="1"/>
  <c r="G45" i="2"/>
  <c r="K45" i="2"/>
  <c r="M45" i="2" s="1"/>
  <c r="G46" i="2"/>
  <c r="K46" i="2"/>
  <c r="M46" i="2" s="1"/>
  <c r="G47" i="2"/>
  <c r="K47" i="2"/>
  <c r="M47" i="2" s="1"/>
  <c r="G48" i="2"/>
  <c r="K48" i="2"/>
  <c r="M48" i="2" s="1"/>
  <c r="G49" i="2"/>
  <c r="K49" i="2"/>
  <c r="M49" i="2" s="1"/>
  <c r="G50" i="2"/>
  <c r="K50" i="2"/>
  <c r="M50" i="2" s="1"/>
  <c r="G51" i="2"/>
  <c r="G21" i="2"/>
  <c r="H21" i="2"/>
  <c r="K21" i="2" s="1"/>
  <c r="M21" i="2" s="1"/>
  <c r="H17" i="2"/>
  <c r="K17" i="2" s="1"/>
  <c r="M17" i="2" s="1"/>
  <c r="H18" i="2"/>
  <c r="K18" i="2" s="1"/>
  <c r="M18" i="2" s="1"/>
  <c r="H19" i="2"/>
  <c r="K19" i="2" s="1"/>
  <c r="M19" i="2" s="1"/>
  <c r="H20" i="2"/>
  <c r="K20" i="2" s="1"/>
  <c r="M20" i="2" s="1"/>
  <c r="H22" i="2"/>
  <c r="K22" i="2" s="1"/>
  <c r="M22" i="2" s="1"/>
  <c r="H23" i="2"/>
  <c r="K23" i="2" s="1"/>
  <c r="M23" i="2" s="1"/>
  <c r="H24" i="2"/>
  <c r="K24" i="2" s="1"/>
  <c r="M24" i="2" s="1"/>
  <c r="H25" i="2"/>
  <c r="K25" i="2" s="1"/>
  <c r="M25" i="2" s="1"/>
  <c r="H26" i="2"/>
  <c r="K26" i="2" s="1"/>
  <c r="M26" i="2" s="1"/>
  <c r="H27" i="2"/>
  <c r="K27" i="2" s="1"/>
  <c r="M27" i="2" s="1"/>
  <c r="H28" i="2"/>
  <c r="G18" i="2"/>
  <c r="G19" i="2"/>
  <c r="G20" i="2"/>
  <c r="G22" i="2"/>
  <c r="G23" i="2"/>
  <c r="G24" i="2"/>
  <c r="G25" i="2"/>
  <c r="G26" i="2"/>
  <c r="G27" i="2"/>
  <c r="G28" i="2"/>
  <c r="K2" i="2"/>
  <c r="K3" i="2"/>
  <c r="M3" i="2" s="1"/>
  <c r="H4" i="2"/>
  <c r="K4" i="2" s="1"/>
  <c r="M4" i="2" s="1"/>
  <c r="H5" i="2"/>
  <c r="K5" i="2" s="1"/>
  <c r="M5" i="2" s="1"/>
  <c r="K39" i="2"/>
  <c r="M39" i="2" s="1"/>
  <c r="H38" i="2"/>
  <c r="K38" i="2" s="1"/>
  <c r="M38" i="2" s="1"/>
  <c r="H37" i="2"/>
  <c r="K37" i="2" s="1"/>
  <c r="M37" i="2" s="1"/>
  <c r="H36" i="2"/>
  <c r="K36" i="2" s="1"/>
  <c r="M36" i="2" s="1"/>
  <c r="H35" i="2"/>
  <c r="K35" i="2" s="1"/>
  <c r="M35" i="2" s="1"/>
  <c r="H34" i="2"/>
  <c r="K34" i="2" s="1"/>
  <c r="M34" i="2" s="1"/>
  <c r="H33" i="2"/>
  <c r="K33" i="2" s="1"/>
  <c r="M33" i="2" s="1"/>
  <c r="H32" i="2"/>
  <c r="K32" i="2" s="1"/>
  <c r="M32" i="2" s="1"/>
  <c r="H31" i="2"/>
  <c r="K31" i="2" s="1"/>
  <c r="M31" i="2" s="1"/>
  <c r="H30" i="2"/>
  <c r="K30" i="2" s="1"/>
  <c r="M30" i="2" s="1"/>
  <c r="H29" i="2"/>
  <c r="K29" i="2" s="1"/>
  <c r="M29" i="2" s="1"/>
  <c r="K28" i="2"/>
  <c r="M28" i="2" s="1"/>
  <c r="H16" i="2"/>
  <c r="K16" i="2" s="1"/>
  <c r="M16" i="2" s="1"/>
  <c r="K15" i="2"/>
  <c r="M15" i="2" s="1"/>
  <c r="E14" i="2"/>
  <c r="H14" i="2" s="1"/>
  <c r="K14" i="2" s="1"/>
  <c r="M14" i="2" s="1"/>
  <c r="H13" i="2"/>
  <c r="K13" i="2" s="1"/>
  <c r="M13" i="2" s="1"/>
  <c r="H12" i="2"/>
  <c r="K12" i="2" s="1"/>
  <c r="M12" i="2" s="1"/>
  <c r="H11" i="2"/>
  <c r="K11" i="2" s="1"/>
  <c r="M11" i="2" s="1"/>
  <c r="K10" i="2"/>
  <c r="M10" i="2" s="1"/>
  <c r="H9" i="2"/>
  <c r="K9" i="2" s="1"/>
  <c r="M9" i="2" s="1"/>
  <c r="H8" i="2"/>
  <c r="K8" i="2"/>
  <c r="M8" i="2" s="1"/>
  <c r="H7" i="2"/>
  <c r="K7" i="2" s="1"/>
  <c r="M7" i="2" s="1"/>
  <c r="H6" i="2"/>
  <c r="K6" i="2" s="1"/>
  <c r="M6" i="2" s="1"/>
  <c r="M2" i="2"/>
  <c r="G29" i="2"/>
  <c r="G30" i="2"/>
  <c r="G31" i="2"/>
  <c r="G32" i="2"/>
  <c r="G33" i="2"/>
  <c r="G34" i="2"/>
  <c r="G35" i="2"/>
  <c r="G36" i="2"/>
  <c r="G37" i="2"/>
  <c r="G38" i="2"/>
  <c r="G39" i="2"/>
  <c r="G7" i="2"/>
  <c r="G8" i="2"/>
  <c r="G9" i="2"/>
  <c r="G10" i="2"/>
  <c r="G11" i="2"/>
  <c r="G12" i="2"/>
  <c r="G13" i="2"/>
  <c r="G15" i="2"/>
  <c r="G16" i="2"/>
  <c r="G17" i="2"/>
  <c r="G3" i="2"/>
  <c r="G4" i="2"/>
  <c r="G5" i="2"/>
  <c r="G6" i="2"/>
  <c r="G2" i="2"/>
  <c r="H10" i="2"/>
  <c r="H15" i="2"/>
  <c r="G9" i="4" l="1"/>
  <c r="G14" i="2"/>
  <c r="K56" i="2"/>
  <c r="G14" i="4" l="1"/>
  <c r="G15" i="4" s="1"/>
  <c r="M56" i="2"/>
  <c r="G56" i="2"/>
  <c r="G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tc={6D093F91-E53A-443B-9050-B8F6E1FF7104}</author>
  </authors>
  <commentList>
    <comment ref="D48" authorId="0" shapeId="0" xr:uid="{6D093F91-E53A-443B-9050-B8F6E1FF7104}">
      <text>
        <t>[Threaded comment]
Your version of Excel allows you to read this threaded comment; however, any edits to it will get removed if the file is opened in a newer version of Excel. Learn more: https://go.microsoft.com/fwlink/?linkid=870924
Comment:
    Ja alla dina kostnader</t>
      </text>
    </comment>
  </commentList>
</comments>
</file>

<file path=xl/sharedStrings.xml><?xml version="1.0" encoding="utf-8"?>
<sst xmlns="http://schemas.openxmlformats.org/spreadsheetml/2006/main" count="384" uniqueCount="145">
  <si>
    <t>Dag #</t>
  </si>
  <si>
    <t>Måne</t>
  </si>
  <si>
    <t>F</t>
  </si>
  <si>
    <t>N</t>
  </si>
  <si>
    <t>Höndelse</t>
  </si>
  <si>
    <t>Resa Arn --&gt; Mumbai</t>
  </si>
  <si>
    <t>Mumbai</t>
  </si>
  <si>
    <t>The Taj</t>
  </si>
  <si>
    <t>Resdag --&gt; Norra Goa</t>
  </si>
  <si>
    <t>Calangute</t>
  </si>
  <si>
    <t>Adamo The Bellus</t>
  </si>
  <si>
    <t>Resdag --&gt; Södra Goa</t>
  </si>
  <si>
    <t>Södra Goa</t>
  </si>
  <si>
    <t>Palolem</t>
  </si>
  <si>
    <t>Resdag till Mumbai</t>
  </si>
  <si>
    <t>Hotellnatt flygplatsen</t>
  </si>
  <si>
    <t>Mumbai --&gt; Addis --&gt; Arn</t>
  </si>
  <si>
    <t>id #</t>
  </si>
  <si>
    <t>utläggare</t>
  </si>
  <si>
    <t>Datum</t>
  </si>
  <si>
    <t>Artikel</t>
  </si>
  <si>
    <t>Belopp</t>
  </si>
  <si>
    <t>Valuta</t>
  </si>
  <si>
    <t>V SEK</t>
  </si>
  <si>
    <t>V INR</t>
  </si>
  <si>
    <t>Av</t>
  </si>
  <si>
    <t>Delas?</t>
  </si>
  <si>
    <t>clearing</t>
  </si>
  <si>
    <t>clearad i SEK</t>
  </si>
  <si>
    <t>cp</t>
  </si>
  <si>
    <t>2026-02.08</t>
  </si>
  <si>
    <t>Mat Istanbils flygplats</t>
  </si>
  <si>
    <t>TL</t>
  </si>
  <si>
    <t>ja</t>
  </si>
  <si>
    <t>Mat / dryck Taj</t>
  </si>
  <si>
    <t>INR</t>
  </si>
  <si>
    <t>Mat / dryck Felix</t>
  </si>
  <si>
    <t>Mat / dryck Felix Leopold</t>
  </si>
  <si>
    <t>Mat / dryck ?</t>
  </si>
  <si>
    <t>Taj boende</t>
  </si>
  <si>
    <t>nej</t>
  </si>
  <si>
    <t>Redan delat</t>
  </si>
  <si>
    <t>Taxi Thivim</t>
  </si>
  <si>
    <t>Mat Adamo</t>
  </si>
  <si>
    <t>Mat påå stranden</t>
  </si>
  <si>
    <t>Massage</t>
  </si>
  <si>
    <t xml:space="preserve">Lunch </t>
  </si>
  <si>
    <t>Vin på Adamo</t>
  </si>
  <si>
    <t>infanteria Pizzor</t>
  </si>
  <si>
    <t>inr</t>
  </si>
  <si>
    <t>middag sista Adamo</t>
  </si>
  <si>
    <t>lunch Mandrem</t>
  </si>
  <si>
    <t>Taxi ToR Mandrem</t>
  </si>
  <si>
    <t>taxi till Palolem</t>
  </si>
  <si>
    <t>Drinkar</t>
  </si>
  <si>
    <t>Cappuchino</t>
  </si>
  <si>
    <t>Lunch</t>
  </si>
  <si>
    <t>Middag</t>
  </si>
  <si>
    <t>Frukost</t>
  </si>
  <si>
    <t>ess</t>
  </si>
  <si>
    <t>Felix</t>
  </si>
  <si>
    <t>Förberedelse</t>
  </si>
  <si>
    <t>Felix tåg &amp; Taxi</t>
  </si>
  <si>
    <t>Felix guidening</t>
  </si>
  <si>
    <t>Tåg t Goa</t>
  </si>
  <si>
    <t>Taxi från mumbai</t>
  </si>
  <si>
    <t>Stranden 1 Calangute</t>
  </si>
  <si>
    <t>Stranden 2</t>
  </si>
  <si>
    <t>Stranden 3</t>
  </si>
  <si>
    <t>Stranden 4</t>
  </si>
  <si>
    <t>Cocconut rom x</t>
  </si>
  <si>
    <t>Adamo middag</t>
  </si>
  <si>
    <t>Mat Pallolem 23 Frukost</t>
  </si>
  <si>
    <t>Mat Pallolem 23 middag</t>
  </si>
  <si>
    <t>Cozy kväll 4 drinkar mat</t>
  </si>
  <si>
    <t>Royal 22 Jouice cordon blue</t>
  </si>
  <si>
    <t>Frukost 25</t>
  </si>
  <si>
    <t>27 strandmat</t>
  </si>
  <si>
    <t xml:space="preserve">Frukost 28 </t>
  </si>
  <si>
    <t>Felix som helhets-tack ??</t>
  </si>
  <si>
    <t>Kvällsmat drinkar Niranta</t>
  </si>
  <si>
    <t>Flyg fr S Goa</t>
  </si>
  <si>
    <t>Timeline of actions taken to assess the problematic situation</t>
  </si>
  <si>
    <t>Including necessary expenses incurred in managing the situation.</t>
  </si>
  <si>
    <t>Expences</t>
  </si>
  <si>
    <t>id</t>
  </si>
  <si>
    <t>Underlag</t>
  </si>
  <si>
    <t>Date</t>
  </si>
  <si>
    <t>ca time</t>
  </si>
  <si>
    <t>Event</t>
  </si>
  <si>
    <t>Comment</t>
  </si>
  <si>
    <t>Expence</t>
  </si>
  <si>
    <t>Currency</t>
  </si>
  <si>
    <t>Exchange rate</t>
  </si>
  <si>
    <t>Euro</t>
  </si>
  <si>
    <t>A.</t>
  </si>
  <si>
    <t>Booking.com approves full jurney</t>
  </si>
  <si>
    <t>B.</t>
  </si>
  <si>
    <t>Change in Flight Plan</t>
  </si>
  <si>
    <t>C.</t>
  </si>
  <si>
    <t>Arrival to Mumbai to leave for Sweden</t>
  </si>
  <si>
    <t>Clarence and Erik arrives from Goa (GOX)</t>
  </si>
  <si>
    <t>-</t>
  </si>
  <si>
    <t>Flight cancelation announced at airport</t>
  </si>
  <si>
    <t>22:00 -
23:30</t>
  </si>
  <si>
    <t>Dialogue with IndiGo</t>
  </si>
  <si>
    <t>Trying to get a reschedule - no progress 
Getting contact tel no to Turkish Airlines (phone no: 000 8000 501 565)</t>
  </si>
  <si>
    <t xml:space="preserve">Calling Turkish Airlines </t>
  </si>
  <si>
    <t>No answer</t>
  </si>
  <si>
    <t>D.</t>
  </si>
  <si>
    <t>Arrival to Niranta hotel</t>
  </si>
  <si>
    <t>Emergency hotel</t>
  </si>
  <si>
    <t>00:40 - 
03:30</t>
  </si>
  <si>
    <t>Searching new flight to Europe</t>
  </si>
  <si>
    <t>No progress</t>
  </si>
  <si>
    <t>E.</t>
  </si>
  <si>
    <t>Flight cancelation announcement from Turkish</t>
  </si>
  <si>
    <t>First eMail from Turkish airlines about the canceled flight</t>
  </si>
  <si>
    <t>08:00 - 
10:00</t>
  </si>
  <si>
    <t>Searching contact with IndiGo Desk to follow up questins</t>
  </si>
  <si>
    <t>Not allowed to enter as our flight was canceled. Got directed to travel agency</t>
  </si>
  <si>
    <t>Extending the stay at hotel</t>
  </si>
  <si>
    <t>F.</t>
  </si>
  <si>
    <t>10:00 - 11:30</t>
  </si>
  <si>
    <t>In consultation with the designated travel agency at Mumbai Airport, options for travelling from India to Sweden were explored. Only one option was identified.</t>
  </si>
  <si>
    <t>We decided to proceed with the purchase of the last two available tickets.</t>
  </si>
  <si>
    <t>G.</t>
  </si>
  <si>
    <t>Eriks Boarding Card  with Ethiopian Airlines</t>
  </si>
  <si>
    <t>Leaving: Mumbai --&gt; Addis Abeba --&gt; Stockholm</t>
  </si>
  <si>
    <t>H.</t>
  </si>
  <si>
    <t>Clarences Boarding Card with Ethiopian Airlines</t>
  </si>
  <si>
    <t>Total additional cost: 938 400 INR</t>
  </si>
  <si>
    <t>CPS ab utlägg för Prodess</t>
  </si>
  <si>
    <t>SEK</t>
  </si>
  <si>
    <t>Delat på 2</t>
  </si>
  <si>
    <t>Lounge GOX</t>
  </si>
  <si>
    <t>Kvitto OK</t>
  </si>
  <si>
    <t>Niranta transit hotell</t>
  </si>
  <si>
    <t>Märklig växelkurs</t>
  </si>
  <si>
    <t>Summa</t>
  </si>
  <si>
    <t>Fakturerat 2026-03-28:</t>
  </si>
  <si>
    <t>a</t>
  </si>
  <si>
    <t>Netto</t>
  </si>
  <si>
    <t>+ Moms</t>
  </si>
  <si>
    <t>= Brutto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</si>
</sst>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d\ dd\/mm"/>
    <numFmt numFmtId="165" formatCode="#,##0.0000"/>
    <numFmt numFmtId="166" formatCode="_-* #,##0_-;\-* #,##0_-;_-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7A5B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3">
    <xf numFmtId="0" fontId="0" fillId="0" borderId="0" xfId="0"/>
    <xf numFmtId="164" fontId="0" fillId="0" borderId="0" xfId="0" applyNumberFormat="1" applyAlignment="1">
      <alignment textRotation="90"/>
    </xf>
    <xf numFmtId="164" fontId="0" fillId="2" borderId="0" xfId="0" applyNumberFormat="1" applyFill="1" applyAlignment="1">
      <alignment textRotation="90"/>
    </xf>
    <xf numFmtId="164" fontId="0" fillId="3" borderId="0" xfId="0" applyNumberFormat="1" applyFill="1" applyAlignment="1">
      <alignment textRotation="90"/>
    </xf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0" fillId="0" borderId="1" xfId="0" applyNumberFormat="1" applyBorder="1" applyAlignment="1">
      <alignment textRotation="90"/>
    </xf>
    <xf numFmtId="0" fontId="0" fillId="5" borderId="0" xfId="0" applyFill="1"/>
    <xf numFmtId="14" fontId="0" fillId="0" borderId="0" xfId="0" applyNumberFormat="1"/>
    <xf numFmtId="3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20" fontId="0" fillId="0" borderId="7" xfId="0" applyNumberFormat="1" applyBorder="1" applyAlignment="1">
      <alignment horizontal="left" vertical="top"/>
    </xf>
    <xf numFmtId="14" fontId="0" fillId="0" borderId="7" xfId="0" applyNumberFormat="1" applyBorder="1" applyAlignment="1">
      <alignment vertical="top"/>
    </xf>
    <xf numFmtId="0" fontId="0" fillId="0" borderId="7" xfId="0" applyBorder="1" applyAlignment="1">
      <alignment horizontal="left"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1" xfId="0" applyFont="1" applyBorder="1" applyAlignment="1">
      <alignment horizontal="lef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8" xfId="0" quotePrefix="1" applyBorder="1" applyAlignment="1">
      <alignment vertical="top"/>
    </xf>
    <xf numFmtId="0" fontId="2" fillId="0" borderId="0" xfId="0" applyFont="1"/>
    <xf numFmtId="3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3" fontId="0" fillId="6" borderId="0" xfId="0" applyNumberFormat="1" applyFill="1" applyAlignment="1">
      <alignment vertical="top"/>
    </xf>
    <xf numFmtId="0" fontId="0" fillId="6" borderId="0" xfId="0" applyFill="1" applyAlignment="1">
      <alignment vertical="top"/>
    </xf>
    <xf numFmtId="165" fontId="0" fillId="6" borderId="0" xfId="0" applyNumberFormat="1" applyFill="1" applyAlignment="1">
      <alignment vertical="top"/>
    </xf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165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horizontal="right" vertical="top"/>
    </xf>
    <xf numFmtId="14" fontId="0" fillId="0" borderId="3" xfId="0" applyNumberFormat="1" applyBorder="1" applyAlignment="1">
      <alignment vertical="top"/>
    </xf>
    <xf numFmtId="20" fontId="0" fillId="0" borderId="3" xfId="0" applyNumberFormat="1" applyBorder="1" applyAlignment="1">
      <alignment horizontal="left" vertical="top"/>
    </xf>
    <xf numFmtId="20" fontId="0" fillId="0" borderId="7" xfId="0" applyNumberFormat="1" applyBorder="1" applyAlignment="1">
      <alignment horizontal="left" vertical="top" wrapText="1"/>
    </xf>
    <xf numFmtId="0" fontId="0" fillId="7" borderId="0" xfId="0" applyFill="1"/>
    <xf numFmtId="14" fontId="0" fillId="7" borderId="0" xfId="0" applyNumberFormat="1" applyFill="1"/>
    <xf numFmtId="3" fontId="0" fillId="7" borderId="0" xfId="0" applyNumberFormat="1" applyFill="1"/>
    <xf numFmtId="1" fontId="0" fillId="7" borderId="0" xfId="0" applyNumberFormat="1" applyFill="1"/>
    <xf numFmtId="0" fontId="4" fillId="0" borderId="0" xfId="0" applyFont="1"/>
    <xf numFmtId="166" fontId="0" fillId="0" borderId="0" xfId="1" applyNumberFormat="1" applyFont="1"/>
    <xf numFmtId="0" fontId="0" fillId="0" borderId="0" xfId="0" applyAlignment="1">
      <alignment horizontal="right"/>
    </xf>
    <xf numFmtId="0" fontId="1" fillId="0" borderId="0" xfId="0" quotePrefix="1" applyFont="1" applyAlignment="1">
      <alignment horizontal="right"/>
    </xf>
    <xf numFmtId="0" fontId="5" fillId="0" borderId="0" xfId="0" applyFont="1"/>
    <xf numFmtId="166" fontId="0" fillId="0" borderId="0" xfId="0" applyNumberFormat="1"/>
    <xf numFmtId="0" fontId="0" fillId="8" borderId="0" xfId="0" applyFill="1"/>
    <xf numFmtId="3" fontId="0" fillId="8" borderId="0" xfId="0" applyNumberFormat="1" applyFill="1"/>
    <xf numFmtId="0" fontId="0" fillId="9" borderId="0" xfId="0" applyFill="1" applyAlignment="1">
      <alignment horizontal="right"/>
    </xf>
  </cellXfs>
  <cellStyles count="2">
    <cellStyle name="Normal" xfId="0" builtinId="0"/>
    <cellStyle name="Tusental" xfId="1" builtinId="3"/>
  </cellStyles>
  <dxfs count="0"/>
  <tableStyles count="0" defaultTableStyle="TableStyleMedium2" defaultPivotStyle="PivotStyleLight16"/>
  <colors>
    <mruColors>
      <color rgb="FFFF7A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rence Paulson" id="{96BCD804-3AE4-4421-8ECB-5BF076251054}" userId="S::clarence@cpsab.se::d5c4e59a-7807-4c63-820f-7ed948c1441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8" dT="2026-03-28T10:20:21.57" personId="{96BCD804-3AE4-4421-8ECB-5BF076251054}" id="{6D093F91-E53A-443B-9050-B8F6E1FF7104}">
    <text>Ja alla dina kostnader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"/>
  <sheetViews>
    <sheetView workbookViewId="0">
      <pane xSplit="3" ySplit="3" topLeftCell="D4" activePane="bottomRight" state="frozen"/>
      <selection pane="bottomRight" activeCell="O12" sqref="O12"/>
      <selection pane="bottomLeft" activeCell="A2" sqref="A2"/>
      <selection pane="topRight" activeCell="D1" sqref="D1"/>
    </sheetView>
  </sheetViews>
  <sheetFormatPr defaultRowHeight="15"/>
  <cols>
    <col min="2" max="2" width="23.5703125" customWidth="1"/>
    <col min="3" max="3" width="3.5703125" hidden="1" customWidth="1"/>
    <col min="4" max="38" width="3.85546875" customWidth="1"/>
  </cols>
  <sheetData>
    <row r="1" spans="1:38">
      <c r="B1" s="6" t="s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</row>
    <row r="2" spans="1:38">
      <c r="B2" s="6" t="s">
        <v>1</v>
      </c>
      <c r="F2" s="5" t="s">
        <v>2</v>
      </c>
      <c r="T2" s="5" t="s">
        <v>3</v>
      </c>
    </row>
    <row r="3" spans="1:38" ht="103.5" customHeight="1">
      <c r="A3" s="7"/>
      <c r="B3" s="7" t="s">
        <v>4</v>
      </c>
      <c r="D3" s="2">
        <v>46060</v>
      </c>
      <c r="E3" s="3">
        <v>46061</v>
      </c>
      <c r="F3" s="1">
        <v>46062</v>
      </c>
      <c r="G3" s="1">
        <v>46063</v>
      </c>
      <c r="H3" s="1">
        <v>46064</v>
      </c>
      <c r="I3" s="1">
        <v>46065</v>
      </c>
      <c r="J3" s="1">
        <v>46066</v>
      </c>
      <c r="K3" s="2">
        <v>46067</v>
      </c>
      <c r="L3" s="3">
        <v>46068</v>
      </c>
      <c r="M3" s="1">
        <v>46069</v>
      </c>
      <c r="N3" s="1">
        <v>46070</v>
      </c>
      <c r="O3" s="1">
        <v>46071</v>
      </c>
      <c r="P3" s="1">
        <v>46072</v>
      </c>
      <c r="Q3" s="1">
        <v>46073</v>
      </c>
      <c r="R3" s="2">
        <v>46074</v>
      </c>
      <c r="S3" s="3">
        <v>46075</v>
      </c>
      <c r="T3" s="1">
        <v>46076</v>
      </c>
      <c r="U3" s="1">
        <v>46077</v>
      </c>
      <c r="V3" s="1">
        <v>46078</v>
      </c>
      <c r="W3" s="1">
        <v>46079</v>
      </c>
      <c r="X3" s="8">
        <v>46080</v>
      </c>
      <c r="Y3" s="2">
        <v>46081</v>
      </c>
      <c r="Z3" s="3">
        <v>46082</v>
      </c>
      <c r="AA3" s="1">
        <v>46083</v>
      </c>
      <c r="AB3" s="1">
        <v>46084</v>
      </c>
      <c r="AC3" s="1">
        <v>46085</v>
      </c>
      <c r="AD3" s="1">
        <v>46086</v>
      </c>
      <c r="AE3" s="1">
        <v>46087</v>
      </c>
      <c r="AF3" s="2">
        <v>46088</v>
      </c>
      <c r="AG3" s="3">
        <v>46089</v>
      </c>
      <c r="AH3" s="1">
        <v>46090</v>
      </c>
      <c r="AI3" s="1">
        <v>46091</v>
      </c>
      <c r="AJ3" s="1">
        <v>46092</v>
      </c>
      <c r="AK3" s="1">
        <v>46093</v>
      </c>
      <c r="AL3" s="1">
        <v>46094</v>
      </c>
    </row>
    <row r="4" spans="1:38">
      <c r="B4" t="s">
        <v>5</v>
      </c>
      <c r="E4" s="9"/>
      <c r="F4" s="9"/>
    </row>
    <row r="5" spans="1:38">
      <c r="B5" t="s">
        <v>6</v>
      </c>
      <c r="F5" s="4" t="s">
        <v>7</v>
      </c>
      <c r="G5" s="4"/>
      <c r="H5" s="4"/>
    </row>
    <row r="6" spans="1:38">
      <c r="B6" t="s">
        <v>8</v>
      </c>
      <c r="H6" s="9"/>
    </row>
    <row r="7" spans="1:38">
      <c r="B7" t="s">
        <v>9</v>
      </c>
      <c r="H7" s="4"/>
      <c r="I7" s="4" t="s">
        <v>10</v>
      </c>
      <c r="J7" s="4"/>
      <c r="K7" s="4"/>
      <c r="L7" s="4"/>
      <c r="M7" s="4"/>
      <c r="N7" s="4"/>
      <c r="O7" s="4"/>
      <c r="P7" s="4"/>
      <c r="Q7" s="4"/>
      <c r="R7" s="4"/>
      <c r="S7" s="4"/>
    </row>
    <row r="8" spans="1:38">
      <c r="B8" t="s">
        <v>11</v>
      </c>
      <c r="S8" s="9"/>
    </row>
    <row r="9" spans="1:38">
      <c r="B9" t="s">
        <v>12</v>
      </c>
      <c r="S9" s="4"/>
      <c r="T9" s="4" t="s">
        <v>13</v>
      </c>
      <c r="U9" s="4"/>
      <c r="V9" s="4"/>
      <c r="W9" s="4"/>
      <c r="X9" s="4"/>
      <c r="Y9" s="4"/>
    </row>
    <row r="10" spans="1:38">
      <c r="B10" t="s">
        <v>14</v>
      </c>
      <c r="Y10" s="9"/>
    </row>
    <row r="11" spans="1:38">
      <c r="B11" t="s">
        <v>15</v>
      </c>
      <c r="Y11" s="4"/>
      <c r="Z11" s="4"/>
    </row>
    <row r="12" spans="1:38">
      <c r="B12" t="s">
        <v>16</v>
      </c>
      <c r="Z12" s="9"/>
      <c r="AA12" s="9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8182-59EE-4ECF-AED0-37DB8859FA3F}">
  <dimension ref="A1:M57"/>
  <sheetViews>
    <sheetView tabSelected="1" zoomScaleNormal="80" zoomScaleSheetLayoutView="100" workbookViewId="0">
      <pane ySplit="1" topLeftCell="A5" activePane="bottomLeft" state="frozen"/>
      <selection pane="bottomLeft" activeCell="E49" sqref="E49"/>
      <selection activeCell="L18" sqref="L18:L30"/>
    </sheetView>
  </sheetViews>
  <sheetFormatPr defaultRowHeight="15"/>
  <cols>
    <col min="3" max="3" width="10.28515625" bestFit="1" customWidth="1"/>
    <col min="4" max="4" width="22" customWidth="1"/>
    <col min="7" max="7" width="8.140625" customWidth="1"/>
    <col min="12" max="12" width="7.140625" customWidth="1"/>
    <col min="13" max="13" width="8.5703125" style="13"/>
  </cols>
  <sheetData>
    <row r="1" spans="1:13" s="7" customFormat="1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M1" s="12" t="s">
        <v>28</v>
      </c>
    </row>
    <row r="2" spans="1:13">
      <c r="A2">
        <v>1</v>
      </c>
      <c r="B2" t="s">
        <v>29</v>
      </c>
      <c r="C2" t="s">
        <v>30</v>
      </c>
      <c r="D2" t="s">
        <v>31</v>
      </c>
      <c r="E2">
        <v>4867</v>
      </c>
      <c r="F2" t="s">
        <v>32</v>
      </c>
      <c r="G2" s="11">
        <f>IF(F2="tl",E2*0.2066,IF(F2="inr",E2*0.0996,E2))</f>
        <v>1005.5222</v>
      </c>
      <c r="H2" s="11">
        <v>10170</v>
      </c>
      <c r="I2" t="s">
        <v>29</v>
      </c>
      <c r="J2" t="s">
        <v>33</v>
      </c>
      <c r="K2" s="11">
        <f>IF(J2="ja",H2/2,0)</f>
        <v>5085</v>
      </c>
      <c r="M2" s="13">
        <f>K2*0.0996</f>
        <v>506.46599999999995</v>
      </c>
    </row>
    <row r="3" spans="1:13">
      <c r="A3">
        <v>2</v>
      </c>
      <c r="B3" t="s">
        <v>29</v>
      </c>
      <c r="C3" t="s">
        <v>30</v>
      </c>
      <c r="D3" t="s">
        <v>31</v>
      </c>
      <c r="E3">
        <v>1383</v>
      </c>
      <c r="F3" t="s">
        <v>32</v>
      </c>
      <c r="G3" s="11">
        <f t="shared" ref="G3:G39" si="0">IF(F3="tl",E3*0.2066,IF(F3="inr",E3*0.0996,E3))</f>
        <v>285.7278</v>
      </c>
      <c r="H3" s="11">
        <v>2867</v>
      </c>
      <c r="I3" t="s">
        <v>29</v>
      </c>
      <c r="J3" t="s">
        <v>33</v>
      </c>
      <c r="K3" s="11">
        <f t="shared" ref="K3:K15" si="1">IF(J3="ja",H3/2,0)</f>
        <v>1433.5</v>
      </c>
      <c r="M3" s="13">
        <f t="shared" ref="M3:M39" si="2">K3*0.0996</f>
        <v>142.7766</v>
      </c>
    </row>
    <row r="4" spans="1:13">
      <c r="A4">
        <v>3</v>
      </c>
      <c r="B4" t="s">
        <v>29</v>
      </c>
      <c r="C4" s="10">
        <v>46062</v>
      </c>
      <c r="D4" t="s">
        <v>34</v>
      </c>
      <c r="E4">
        <v>2500</v>
      </c>
      <c r="F4" t="s">
        <v>35</v>
      </c>
      <c r="G4" s="11">
        <f t="shared" si="0"/>
        <v>248.99999999999997</v>
      </c>
      <c r="H4" s="11">
        <f t="shared" ref="H4:H28" si="3">E4</f>
        <v>2500</v>
      </c>
      <c r="I4" t="s">
        <v>29</v>
      </c>
      <c r="J4" t="s">
        <v>33</v>
      </c>
      <c r="K4" s="11">
        <f t="shared" si="1"/>
        <v>1250</v>
      </c>
      <c r="M4" s="13">
        <f t="shared" si="2"/>
        <v>124.49999999999999</v>
      </c>
    </row>
    <row r="5" spans="1:13">
      <c r="A5">
        <v>4</v>
      </c>
      <c r="B5" t="s">
        <v>29</v>
      </c>
      <c r="C5" s="10">
        <v>46062</v>
      </c>
      <c r="D5" t="s">
        <v>34</v>
      </c>
      <c r="E5">
        <v>2160</v>
      </c>
      <c r="F5" t="s">
        <v>35</v>
      </c>
      <c r="G5" s="11">
        <f t="shared" si="0"/>
        <v>215.136</v>
      </c>
      <c r="H5" s="11">
        <f t="shared" si="3"/>
        <v>2160</v>
      </c>
      <c r="I5" t="s">
        <v>29</v>
      </c>
      <c r="J5" t="s">
        <v>33</v>
      </c>
      <c r="K5" s="11">
        <f t="shared" si="1"/>
        <v>1080</v>
      </c>
      <c r="M5" s="13">
        <f t="shared" si="2"/>
        <v>107.568</v>
      </c>
    </row>
    <row r="6" spans="1:13">
      <c r="A6">
        <v>5</v>
      </c>
      <c r="B6" t="s">
        <v>29</v>
      </c>
      <c r="C6" s="10">
        <v>46062</v>
      </c>
      <c r="D6" t="s">
        <v>36</v>
      </c>
      <c r="E6">
        <v>2400</v>
      </c>
      <c r="F6" t="s">
        <v>35</v>
      </c>
      <c r="G6" s="11">
        <f t="shared" si="0"/>
        <v>239.04</v>
      </c>
      <c r="H6" s="11">
        <f t="shared" si="3"/>
        <v>2400</v>
      </c>
      <c r="I6" t="s">
        <v>29</v>
      </c>
      <c r="J6" t="s">
        <v>33</v>
      </c>
      <c r="K6" s="11">
        <f>IF(J6="ja",H6/2,0)</f>
        <v>1200</v>
      </c>
      <c r="M6" s="13">
        <f t="shared" si="2"/>
        <v>119.52</v>
      </c>
    </row>
    <row r="7" spans="1:13">
      <c r="A7">
        <v>6</v>
      </c>
      <c r="B7" t="s">
        <v>29</v>
      </c>
      <c r="C7" s="10">
        <v>46062</v>
      </c>
      <c r="D7" t="s">
        <v>37</v>
      </c>
      <c r="E7">
        <v>1017</v>
      </c>
      <c r="F7" t="s">
        <v>35</v>
      </c>
      <c r="G7" s="11">
        <f t="shared" si="0"/>
        <v>101.2932</v>
      </c>
      <c r="H7" s="11">
        <f t="shared" si="3"/>
        <v>1017</v>
      </c>
      <c r="I7" t="s">
        <v>29</v>
      </c>
      <c r="J7" t="s">
        <v>33</v>
      </c>
      <c r="K7" s="11">
        <f t="shared" si="1"/>
        <v>508.5</v>
      </c>
      <c r="M7" s="13">
        <f t="shared" si="2"/>
        <v>50.646599999999999</v>
      </c>
    </row>
    <row r="8" spans="1:13">
      <c r="A8">
        <v>7</v>
      </c>
      <c r="B8" t="s">
        <v>29</v>
      </c>
      <c r="C8" s="10">
        <v>46063</v>
      </c>
      <c r="D8" t="s">
        <v>38</v>
      </c>
      <c r="E8">
        <v>1354</v>
      </c>
      <c r="F8" t="s">
        <v>35</v>
      </c>
      <c r="G8" s="11">
        <f t="shared" si="0"/>
        <v>134.85839999999999</v>
      </c>
      <c r="H8" s="11">
        <f t="shared" si="3"/>
        <v>1354</v>
      </c>
      <c r="I8" t="s">
        <v>29</v>
      </c>
      <c r="J8" t="s">
        <v>33</v>
      </c>
      <c r="K8" s="11">
        <f t="shared" si="1"/>
        <v>677</v>
      </c>
      <c r="M8" s="13">
        <f t="shared" si="2"/>
        <v>67.429199999999994</v>
      </c>
    </row>
    <row r="9" spans="1:13">
      <c r="A9">
        <v>8</v>
      </c>
      <c r="B9" t="s">
        <v>29</v>
      </c>
      <c r="C9" s="10">
        <v>46063</v>
      </c>
      <c r="D9" t="s">
        <v>34</v>
      </c>
      <c r="E9">
        <v>2566</v>
      </c>
      <c r="F9" t="s">
        <v>35</v>
      </c>
      <c r="G9" s="11">
        <f t="shared" si="0"/>
        <v>255.5736</v>
      </c>
      <c r="H9" s="11">
        <f t="shared" si="3"/>
        <v>2566</v>
      </c>
      <c r="I9" t="s">
        <v>29</v>
      </c>
      <c r="J9" t="s">
        <v>33</v>
      </c>
      <c r="K9" s="11">
        <f t="shared" si="1"/>
        <v>1283</v>
      </c>
      <c r="M9" s="13">
        <f t="shared" si="2"/>
        <v>127.7868</v>
      </c>
    </row>
    <row r="10" spans="1:13">
      <c r="A10">
        <v>9</v>
      </c>
      <c r="B10" t="s">
        <v>29</v>
      </c>
      <c r="C10" s="10">
        <v>46064</v>
      </c>
      <c r="D10" t="s">
        <v>39</v>
      </c>
      <c r="E10">
        <v>48380</v>
      </c>
      <c r="F10" t="s">
        <v>35</v>
      </c>
      <c r="G10" s="11">
        <f t="shared" si="0"/>
        <v>4818.6480000000001</v>
      </c>
      <c r="H10" s="11">
        <f t="shared" si="3"/>
        <v>48380</v>
      </c>
      <c r="I10" t="s">
        <v>29</v>
      </c>
      <c r="J10" t="s">
        <v>40</v>
      </c>
      <c r="K10" s="11">
        <f t="shared" si="1"/>
        <v>0</v>
      </c>
      <c r="L10" t="s">
        <v>41</v>
      </c>
      <c r="M10" s="13">
        <f t="shared" si="2"/>
        <v>0</v>
      </c>
    </row>
    <row r="11" spans="1:13">
      <c r="A11">
        <v>10</v>
      </c>
      <c r="B11" t="s">
        <v>29</v>
      </c>
      <c r="C11" s="10">
        <v>46064</v>
      </c>
      <c r="D11" t="s">
        <v>42</v>
      </c>
      <c r="E11">
        <v>900</v>
      </c>
      <c r="F11" t="s">
        <v>35</v>
      </c>
      <c r="G11" s="11">
        <f t="shared" si="0"/>
        <v>89.64</v>
      </c>
      <c r="H11" s="11">
        <f t="shared" si="3"/>
        <v>900</v>
      </c>
      <c r="I11" t="s">
        <v>29</v>
      </c>
      <c r="J11" t="s">
        <v>33</v>
      </c>
      <c r="K11" s="11">
        <f t="shared" si="1"/>
        <v>450</v>
      </c>
      <c r="M11" s="13">
        <f t="shared" si="2"/>
        <v>44.82</v>
      </c>
    </row>
    <row r="12" spans="1:13">
      <c r="A12">
        <v>11</v>
      </c>
      <c r="B12" t="s">
        <v>29</v>
      </c>
      <c r="C12" s="10">
        <v>46064</v>
      </c>
      <c r="D12" t="s">
        <v>43</v>
      </c>
      <c r="E12">
        <v>1250</v>
      </c>
      <c r="F12" t="s">
        <v>35</v>
      </c>
      <c r="G12" s="11">
        <f t="shared" si="0"/>
        <v>124.49999999999999</v>
      </c>
      <c r="H12" s="11">
        <f t="shared" si="3"/>
        <v>1250</v>
      </c>
      <c r="I12" t="s">
        <v>29</v>
      </c>
      <c r="J12" t="s">
        <v>33</v>
      </c>
      <c r="K12" s="11">
        <f t="shared" si="1"/>
        <v>625</v>
      </c>
      <c r="M12" s="13">
        <f t="shared" si="2"/>
        <v>62.249999999999993</v>
      </c>
    </row>
    <row r="13" spans="1:13">
      <c r="A13">
        <v>12</v>
      </c>
      <c r="B13" t="s">
        <v>29</v>
      </c>
      <c r="C13" s="10">
        <v>46065</v>
      </c>
      <c r="D13" t="s">
        <v>44</v>
      </c>
      <c r="E13">
        <v>4300</v>
      </c>
      <c r="F13" t="s">
        <v>35</v>
      </c>
      <c r="G13" s="11">
        <f t="shared" si="0"/>
        <v>428.28</v>
      </c>
      <c r="H13" s="11">
        <f t="shared" si="3"/>
        <v>4300</v>
      </c>
      <c r="I13" t="s">
        <v>29</v>
      </c>
      <c r="J13" t="s">
        <v>33</v>
      </c>
      <c r="K13" s="11">
        <f t="shared" si="1"/>
        <v>2150</v>
      </c>
      <c r="M13" s="13">
        <f t="shared" si="2"/>
        <v>214.14</v>
      </c>
    </row>
    <row r="14" spans="1:13">
      <c r="A14">
        <v>13</v>
      </c>
      <c r="B14" t="s">
        <v>29</v>
      </c>
      <c r="C14" s="10">
        <v>46066</v>
      </c>
      <c r="D14" t="s">
        <v>45</v>
      </c>
      <c r="E14">
        <f>1200*2</f>
        <v>2400</v>
      </c>
      <c r="F14" t="s">
        <v>35</v>
      </c>
      <c r="G14" s="11">
        <f t="shared" si="0"/>
        <v>239.04</v>
      </c>
      <c r="H14" s="11">
        <f t="shared" si="3"/>
        <v>2400</v>
      </c>
      <c r="I14" t="s">
        <v>29</v>
      </c>
      <c r="J14" t="s">
        <v>33</v>
      </c>
      <c r="K14" s="11">
        <f t="shared" si="1"/>
        <v>1200</v>
      </c>
      <c r="M14" s="13">
        <f t="shared" si="2"/>
        <v>119.52</v>
      </c>
    </row>
    <row r="15" spans="1:13">
      <c r="A15">
        <v>14</v>
      </c>
      <c r="B15" t="s">
        <v>29</v>
      </c>
      <c r="C15" s="10">
        <v>46066</v>
      </c>
      <c r="D15" t="s">
        <v>46</v>
      </c>
      <c r="F15" t="s">
        <v>35</v>
      </c>
      <c r="G15" s="11">
        <f t="shared" si="0"/>
        <v>0</v>
      </c>
      <c r="H15" s="11">
        <f t="shared" si="3"/>
        <v>0</v>
      </c>
      <c r="I15" t="s">
        <v>29</v>
      </c>
      <c r="J15" t="s">
        <v>40</v>
      </c>
      <c r="K15" s="11">
        <f t="shared" si="1"/>
        <v>0</v>
      </c>
      <c r="L15" t="s">
        <v>41</v>
      </c>
      <c r="M15" s="13">
        <f t="shared" si="2"/>
        <v>0</v>
      </c>
    </row>
    <row r="16" spans="1:13">
      <c r="A16">
        <v>15</v>
      </c>
      <c r="B16" t="s">
        <v>29</v>
      </c>
      <c r="C16" s="10">
        <v>46068</v>
      </c>
      <c r="D16" t="s">
        <v>47</v>
      </c>
      <c r="E16">
        <v>1350</v>
      </c>
      <c r="F16" t="s">
        <v>35</v>
      </c>
      <c r="G16" s="11">
        <f t="shared" si="0"/>
        <v>134.45999999999998</v>
      </c>
      <c r="H16" s="11">
        <f t="shared" si="3"/>
        <v>1350</v>
      </c>
      <c r="I16" t="s">
        <v>29</v>
      </c>
      <c r="J16" t="s">
        <v>33</v>
      </c>
      <c r="K16" s="11">
        <f>IF(J16="ja",H16/2,0)</f>
        <v>675</v>
      </c>
      <c r="M16" s="13">
        <f t="shared" si="2"/>
        <v>67.22999999999999</v>
      </c>
    </row>
    <row r="17" spans="1:13">
      <c r="A17">
        <v>16</v>
      </c>
      <c r="B17" t="s">
        <v>29</v>
      </c>
      <c r="C17" s="10">
        <v>46071</v>
      </c>
      <c r="D17" t="s">
        <v>48</v>
      </c>
      <c r="E17">
        <v>1600</v>
      </c>
      <c r="F17" t="s">
        <v>49</v>
      </c>
      <c r="G17" s="11">
        <f t="shared" si="0"/>
        <v>159.35999999999999</v>
      </c>
      <c r="H17" s="11">
        <f t="shared" si="3"/>
        <v>1600</v>
      </c>
      <c r="I17" t="s">
        <v>29</v>
      </c>
      <c r="J17" t="s">
        <v>33</v>
      </c>
      <c r="K17" s="11">
        <f t="shared" ref="K17:K28" si="4">IF(J17="ja",H17/2,0)</f>
        <v>800</v>
      </c>
      <c r="M17" s="13">
        <f t="shared" si="2"/>
        <v>79.679999999999993</v>
      </c>
    </row>
    <row r="18" spans="1:13">
      <c r="A18">
        <v>17</v>
      </c>
      <c r="B18" t="s">
        <v>29</v>
      </c>
      <c r="C18" s="10">
        <v>46074</v>
      </c>
      <c r="D18" t="s">
        <v>50</v>
      </c>
      <c r="E18">
        <v>1600</v>
      </c>
      <c r="F18" t="s">
        <v>35</v>
      </c>
      <c r="G18" s="11">
        <f t="shared" si="0"/>
        <v>159.35999999999999</v>
      </c>
      <c r="H18" s="11">
        <f t="shared" si="3"/>
        <v>1600</v>
      </c>
      <c r="I18" t="s">
        <v>29</v>
      </c>
      <c r="J18" t="s">
        <v>33</v>
      </c>
      <c r="K18" s="11">
        <f t="shared" si="4"/>
        <v>800</v>
      </c>
      <c r="M18" s="13">
        <f t="shared" si="2"/>
        <v>79.679999999999993</v>
      </c>
    </row>
    <row r="19" spans="1:13">
      <c r="A19">
        <v>18</v>
      </c>
      <c r="B19" t="s">
        <v>29</v>
      </c>
      <c r="C19" s="10">
        <v>46074</v>
      </c>
      <c r="D19" t="s">
        <v>51</v>
      </c>
      <c r="E19">
        <v>1800</v>
      </c>
      <c r="F19" t="s">
        <v>35</v>
      </c>
      <c r="G19" s="11">
        <f t="shared" si="0"/>
        <v>179.28</v>
      </c>
      <c r="H19" s="11">
        <f t="shared" si="3"/>
        <v>1800</v>
      </c>
      <c r="I19" t="s">
        <v>29</v>
      </c>
      <c r="J19" t="s">
        <v>33</v>
      </c>
      <c r="K19" s="11">
        <f t="shared" si="4"/>
        <v>900</v>
      </c>
      <c r="M19" s="13">
        <f t="shared" si="2"/>
        <v>89.64</v>
      </c>
    </row>
    <row r="20" spans="1:13">
      <c r="A20">
        <v>19</v>
      </c>
      <c r="B20" t="s">
        <v>29</v>
      </c>
      <c r="C20" s="10">
        <v>46074</v>
      </c>
      <c r="D20" t="s">
        <v>52</v>
      </c>
      <c r="E20">
        <v>3000</v>
      </c>
      <c r="F20" t="s">
        <v>35</v>
      </c>
      <c r="G20" s="11">
        <f t="shared" si="0"/>
        <v>298.79999999999995</v>
      </c>
      <c r="H20" s="11">
        <f t="shared" si="3"/>
        <v>3000</v>
      </c>
      <c r="I20" t="s">
        <v>29</v>
      </c>
      <c r="J20" t="s">
        <v>33</v>
      </c>
      <c r="K20" s="11">
        <f t="shared" si="4"/>
        <v>1500</v>
      </c>
      <c r="M20" s="13">
        <f t="shared" si="2"/>
        <v>149.39999999999998</v>
      </c>
    </row>
    <row r="21" spans="1:13">
      <c r="A21">
        <v>27</v>
      </c>
      <c r="B21" t="s">
        <v>29</v>
      </c>
      <c r="C21" s="10">
        <v>46075</v>
      </c>
      <c r="D21" t="s">
        <v>53</v>
      </c>
      <c r="E21">
        <v>4000</v>
      </c>
      <c r="F21" t="s">
        <v>35</v>
      </c>
      <c r="G21" s="11">
        <f t="shared" ref="G21" si="5">IF(F21="tl",E21*0.2066,IF(F21="inr",E21*0.0996,E21))</f>
        <v>398.4</v>
      </c>
      <c r="H21" s="11">
        <f t="shared" ref="H21" si="6">E21</f>
        <v>4000</v>
      </c>
      <c r="J21" t="s">
        <v>33</v>
      </c>
      <c r="K21" s="11">
        <f t="shared" ref="K21" si="7">IF(J21="ja",H21/2,0)</f>
        <v>2000</v>
      </c>
      <c r="M21" s="13">
        <f t="shared" ref="M21" si="8">K21*0.0996</f>
        <v>199.2</v>
      </c>
    </row>
    <row r="22" spans="1:13">
      <c r="A22">
        <v>20</v>
      </c>
      <c r="B22" t="s">
        <v>29</v>
      </c>
      <c r="C22" s="10">
        <v>46076</v>
      </c>
      <c r="D22" t="s">
        <v>54</v>
      </c>
      <c r="E22">
        <v>2200</v>
      </c>
      <c r="F22" t="s">
        <v>35</v>
      </c>
      <c r="G22" s="11">
        <f t="shared" si="0"/>
        <v>219.11999999999998</v>
      </c>
      <c r="H22" s="11">
        <f t="shared" si="3"/>
        <v>2200</v>
      </c>
      <c r="I22" t="s">
        <v>29</v>
      </c>
      <c r="J22" t="s">
        <v>33</v>
      </c>
      <c r="K22" s="11">
        <f t="shared" si="4"/>
        <v>1100</v>
      </c>
      <c r="M22" s="13">
        <f t="shared" si="2"/>
        <v>109.55999999999999</v>
      </c>
    </row>
    <row r="23" spans="1:13">
      <c r="A23">
        <v>21</v>
      </c>
      <c r="B23" t="s">
        <v>29</v>
      </c>
      <c r="C23" s="10">
        <v>46076</v>
      </c>
      <c r="D23" t="s">
        <v>55</v>
      </c>
      <c r="E23">
        <v>300</v>
      </c>
      <c r="F23" t="s">
        <v>35</v>
      </c>
      <c r="G23" s="11">
        <f t="shared" si="0"/>
        <v>29.88</v>
      </c>
      <c r="H23" s="11">
        <f t="shared" si="3"/>
        <v>300</v>
      </c>
      <c r="I23" t="s">
        <v>29</v>
      </c>
      <c r="J23" t="s">
        <v>33</v>
      </c>
      <c r="K23" s="11">
        <f t="shared" si="4"/>
        <v>150</v>
      </c>
      <c r="M23" s="13">
        <f t="shared" si="2"/>
        <v>14.94</v>
      </c>
    </row>
    <row r="24" spans="1:13">
      <c r="A24">
        <v>22</v>
      </c>
      <c r="B24" t="s">
        <v>29</v>
      </c>
      <c r="C24" s="10">
        <v>46077</v>
      </c>
      <c r="D24" t="s">
        <v>56</v>
      </c>
      <c r="E24">
        <v>1500</v>
      </c>
      <c r="F24" t="s">
        <v>35</v>
      </c>
      <c r="G24" s="11">
        <f t="shared" si="0"/>
        <v>149.39999999999998</v>
      </c>
      <c r="H24" s="11">
        <f t="shared" si="3"/>
        <v>1500</v>
      </c>
      <c r="I24" t="s">
        <v>29</v>
      </c>
      <c r="J24" t="s">
        <v>33</v>
      </c>
      <c r="K24" s="11">
        <f t="shared" si="4"/>
        <v>750</v>
      </c>
      <c r="M24" s="13">
        <f t="shared" si="2"/>
        <v>74.699999999999989</v>
      </c>
    </row>
    <row r="25" spans="1:13">
      <c r="A25">
        <v>23</v>
      </c>
      <c r="B25" t="s">
        <v>29</v>
      </c>
      <c r="C25" s="10">
        <v>46077</v>
      </c>
      <c r="D25" t="s">
        <v>57</v>
      </c>
      <c r="E25">
        <v>2000</v>
      </c>
      <c r="F25" t="s">
        <v>35</v>
      </c>
      <c r="G25" s="11">
        <f t="shared" si="0"/>
        <v>199.2</v>
      </c>
      <c r="H25" s="11">
        <f t="shared" si="3"/>
        <v>2000</v>
      </c>
      <c r="I25" t="s">
        <v>29</v>
      </c>
      <c r="J25" t="s">
        <v>33</v>
      </c>
      <c r="K25" s="11">
        <f t="shared" si="4"/>
        <v>1000</v>
      </c>
      <c r="M25" s="13">
        <f t="shared" si="2"/>
        <v>99.6</v>
      </c>
    </row>
    <row r="26" spans="1:13">
      <c r="A26">
        <v>24</v>
      </c>
      <c r="B26" t="s">
        <v>29</v>
      </c>
      <c r="C26" s="10">
        <v>46078</v>
      </c>
      <c r="D26" t="s">
        <v>58</v>
      </c>
      <c r="E26">
        <v>1100</v>
      </c>
      <c r="F26" t="s">
        <v>35</v>
      </c>
      <c r="G26" s="11">
        <f t="shared" si="0"/>
        <v>109.55999999999999</v>
      </c>
      <c r="H26" s="11">
        <f t="shared" si="3"/>
        <v>1100</v>
      </c>
      <c r="I26" t="s">
        <v>29</v>
      </c>
      <c r="J26" t="s">
        <v>33</v>
      </c>
      <c r="K26" s="11">
        <f t="shared" si="4"/>
        <v>550</v>
      </c>
      <c r="M26" s="13">
        <f t="shared" si="2"/>
        <v>54.779999999999994</v>
      </c>
    </row>
    <row r="27" spans="1:13">
      <c r="A27">
        <v>25</v>
      </c>
      <c r="B27" t="s">
        <v>29</v>
      </c>
      <c r="C27" s="10">
        <v>46080</v>
      </c>
      <c r="D27" t="s">
        <v>58</v>
      </c>
      <c r="E27">
        <v>1300</v>
      </c>
      <c r="F27" t="s">
        <v>35</v>
      </c>
      <c r="G27" s="11">
        <f t="shared" si="0"/>
        <v>129.47999999999999</v>
      </c>
      <c r="H27" s="11">
        <f t="shared" si="3"/>
        <v>1300</v>
      </c>
      <c r="I27" t="s">
        <v>29</v>
      </c>
      <c r="J27" t="s">
        <v>33</v>
      </c>
      <c r="K27" s="11">
        <f t="shared" si="4"/>
        <v>650</v>
      </c>
      <c r="M27" s="13">
        <f t="shared" si="2"/>
        <v>64.739999999999995</v>
      </c>
    </row>
    <row r="28" spans="1:13">
      <c r="A28">
        <v>26</v>
      </c>
      <c r="B28" t="s">
        <v>29</v>
      </c>
      <c r="C28" s="10">
        <v>46080</v>
      </c>
      <c r="D28" t="s">
        <v>58</v>
      </c>
      <c r="E28">
        <v>1200</v>
      </c>
      <c r="F28" t="s">
        <v>35</v>
      </c>
      <c r="G28" s="11">
        <f t="shared" si="0"/>
        <v>119.52</v>
      </c>
      <c r="H28" s="11">
        <f t="shared" si="3"/>
        <v>1200</v>
      </c>
      <c r="I28" t="s">
        <v>29</v>
      </c>
      <c r="J28" t="s">
        <v>33</v>
      </c>
      <c r="K28" s="11">
        <f t="shared" si="4"/>
        <v>600</v>
      </c>
      <c r="M28" s="13">
        <f t="shared" si="2"/>
        <v>59.76</v>
      </c>
    </row>
    <row r="29" spans="1:13" ht="15" customHeight="1">
      <c r="A29" s="50"/>
      <c r="B29" s="50" t="s">
        <v>59</v>
      </c>
      <c r="C29" s="51"/>
      <c r="D29" s="50" t="s">
        <v>60</v>
      </c>
      <c r="E29" s="50">
        <v>3000</v>
      </c>
      <c r="F29" s="50" t="s">
        <v>35</v>
      </c>
      <c r="G29" s="52">
        <f t="shared" si="0"/>
        <v>298.79999999999995</v>
      </c>
      <c r="H29" s="52">
        <f t="shared" ref="H29:H54" si="9">E29</f>
        <v>3000</v>
      </c>
      <c r="I29" s="50" t="s">
        <v>59</v>
      </c>
      <c r="J29" s="50" t="s">
        <v>33</v>
      </c>
      <c r="K29" s="52">
        <f t="shared" ref="K29:K39" si="10">IF(J29="ja",-H29/2,0)</f>
        <v>-1500</v>
      </c>
      <c r="L29" s="50"/>
      <c r="M29" s="53">
        <f t="shared" si="2"/>
        <v>-149.39999999999998</v>
      </c>
    </row>
    <row r="30" spans="1:13">
      <c r="A30" s="50"/>
      <c r="B30" s="50" t="s">
        <v>59</v>
      </c>
      <c r="C30" s="51"/>
      <c r="D30" s="50" t="s">
        <v>61</v>
      </c>
      <c r="E30" s="50">
        <v>7000</v>
      </c>
      <c r="F30" s="50" t="s">
        <v>35</v>
      </c>
      <c r="G30" s="52">
        <f t="shared" si="0"/>
        <v>697.19999999999993</v>
      </c>
      <c r="H30" s="52">
        <f t="shared" si="9"/>
        <v>7000</v>
      </c>
      <c r="I30" s="50" t="s">
        <v>59</v>
      </c>
      <c r="J30" s="50" t="s">
        <v>33</v>
      </c>
      <c r="K30" s="52">
        <f t="shared" si="10"/>
        <v>-3500</v>
      </c>
      <c r="L30" s="50"/>
      <c r="M30" s="53">
        <f t="shared" si="2"/>
        <v>-348.59999999999997</v>
      </c>
    </row>
    <row r="31" spans="1:13">
      <c r="A31" s="50"/>
      <c r="B31" s="50" t="s">
        <v>59</v>
      </c>
      <c r="C31" s="51"/>
      <c r="D31" s="50" t="s">
        <v>62</v>
      </c>
      <c r="E31" s="50">
        <v>1500</v>
      </c>
      <c r="F31" s="50" t="s">
        <v>35</v>
      </c>
      <c r="G31" s="52">
        <f t="shared" si="0"/>
        <v>149.39999999999998</v>
      </c>
      <c r="H31" s="52">
        <f t="shared" si="9"/>
        <v>1500</v>
      </c>
      <c r="I31" s="50" t="s">
        <v>59</v>
      </c>
      <c r="J31" s="50" t="s">
        <v>33</v>
      </c>
      <c r="K31" s="52">
        <f t="shared" si="10"/>
        <v>-750</v>
      </c>
      <c r="L31" s="50"/>
      <c r="M31" s="53">
        <f t="shared" si="2"/>
        <v>-74.699999999999989</v>
      </c>
    </row>
    <row r="32" spans="1:13">
      <c r="A32" s="50"/>
      <c r="B32" s="50" t="s">
        <v>59</v>
      </c>
      <c r="C32" s="51"/>
      <c r="D32" s="50" t="s">
        <v>63</v>
      </c>
      <c r="E32" s="50">
        <v>8000</v>
      </c>
      <c r="F32" s="50" t="s">
        <v>35</v>
      </c>
      <c r="G32" s="52">
        <f t="shared" si="0"/>
        <v>796.8</v>
      </c>
      <c r="H32" s="52">
        <f t="shared" si="9"/>
        <v>8000</v>
      </c>
      <c r="I32" s="50" t="s">
        <v>59</v>
      </c>
      <c r="J32" s="50" t="s">
        <v>33</v>
      </c>
      <c r="K32" s="52">
        <f t="shared" si="10"/>
        <v>-4000</v>
      </c>
      <c r="L32" s="50"/>
      <c r="M32" s="53">
        <f t="shared" si="2"/>
        <v>-398.4</v>
      </c>
    </row>
    <row r="33" spans="1:13">
      <c r="A33" s="50"/>
      <c r="B33" s="50" t="s">
        <v>59</v>
      </c>
      <c r="C33" s="51"/>
      <c r="D33" s="50" t="s">
        <v>64</v>
      </c>
      <c r="E33" s="50">
        <v>4500</v>
      </c>
      <c r="F33" s="50" t="s">
        <v>35</v>
      </c>
      <c r="G33" s="52">
        <f t="shared" si="0"/>
        <v>448.2</v>
      </c>
      <c r="H33" s="52">
        <f t="shared" si="9"/>
        <v>4500</v>
      </c>
      <c r="I33" s="50" t="s">
        <v>59</v>
      </c>
      <c r="J33" s="50" t="s">
        <v>33</v>
      </c>
      <c r="K33" s="52">
        <f t="shared" si="10"/>
        <v>-2250</v>
      </c>
      <c r="L33" s="50"/>
      <c r="M33" s="53">
        <f>K33*0.0996</f>
        <v>-224.1</v>
      </c>
    </row>
    <row r="34" spans="1:13">
      <c r="A34" s="50"/>
      <c r="B34" s="50" t="s">
        <v>59</v>
      </c>
      <c r="C34" s="51"/>
      <c r="D34" s="50" t="s">
        <v>65</v>
      </c>
      <c r="E34" s="50">
        <v>2000</v>
      </c>
      <c r="F34" s="50" t="s">
        <v>35</v>
      </c>
      <c r="G34" s="52">
        <f t="shared" si="0"/>
        <v>199.2</v>
      </c>
      <c r="H34" s="52">
        <f t="shared" si="9"/>
        <v>2000</v>
      </c>
      <c r="I34" s="50" t="s">
        <v>59</v>
      </c>
      <c r="J34" s="50" t="s">
        <v>33</v>
      </c>
      <c r="K34" s="52">
        <f t="shared" si="10"/>
        <v>-1000</v>
      </c>
      <c r="L34" s="50"/>
      <c r="M34" s="53">
        <f t="shared" si="2"/>
        <v>-99.6</v>
      </c>
    </row>
    <row r="35" spans="1:13">
      <c r="A35" s="50"/>
      <c r="B35" s="50" t="s">
        <v>59</v>
      </c>
      <c r="C35" s="51"/>
      <c r="D35" s="50" t="s">
        <v>66</v>
      </c>
      <c r="E35" s="50">
        <v>1500</v>
      </c>
      <c r="F35" s="50" t="s">
        <v>35</v>
      </c>
      <c r="G35" s="52">
        <f t="shared" si="0"/>
        <v>149.39999999999998</v>
      </c>
      <c r="H35" s="52">
        <f t="shared" si="9"/>
        <v>1500</v>
      </c>
      <c r="I35" s="50" t="s">
        <v>59</v>
      </c>
      <c r="J35" s="50" t="s">
        <v>33</v>
      </c>
      <c r="K35" s="52">
        <f t="shared" si="10"/>
        <v>-750</v>
      </c>
      <c r="L35" s="50"/>
      <c r="M35" s="53">
        <f t="shared" si="2"/>
        <v>-74.699999999999989</v>
      </c>
    </row>
    <row r="36" spans="1:13">
      <c r="A36" s="50"/>
      <c r="B36" s="50" t="s">
        <v>59</v>
      </c>
      <c r="C36" s="51"/>
      <c r="D36" s="50" t="s">
        <v>67</v>
      </c>
      <c r="E36" s="50">
        <v>2300</v>
      </c>
      <c r="F36" s="50" t="s">
        <v>35</v>
      </c>
      <c r="G36" s="52">
        <f t="shared" si="0"/>
        <v>229.07999999999998</v>
      </c>
      <c r="H36" s="52">
        <f t="shared" si="9"/>
        <v>2300</v>
      </c>
      <c r="I36" s="50" t="s">
        <v>59</v>
      </c>
      <c r="J36" s="50" t="s">
        <v>33</v>
      </c>
      <c r="K36" s="52">
        <f t="shared" si="10"/>
        <v>-1150</v>
      </c>
      <c r="L36" s="50"/>
      <c r="M36" s="53">
        <f t="shared" si="2"/>
        <v>-114.53999999999999</v>
      </c>
    </row>
    <row r="37" spans="1:13">
      <c r="A37" s="50"/>
      <c r="B37" s="50" t="s">
        <v>59</v>
      </c>
      <c r="C37" s="51"/>
      <c r="D37" s="50" t="s">
        <v>68</v>
      </c>
      <c r="E37" s="50">
        <v>1700</v>
      </c>
      <c r="F37" s="50" t="s">
        <v>35</v>
      </c>
      <c r="G37" s="52">
        <f t="shared" si="0"/>
        <v>169.32</v>
      </c>
      <c r="H37" s="52">
        <f t="shared" si="9"/>
        <v>1700</v>
      </c>
      <c r="I37" s="50" t="s">
        <v>59</v>
      </c>
      <c r="J37" s="50" t="s">
        <v>33</v>
      </c>
      <c r="K37" s="52">
        <f t="shared" si="10"/>
        <v>-850</v>
      </c>
      <c r="L37" s="50"/>
      <c r="M37" s="53">
        <f t="shared" si="2"/>
        <v>-84.66</v>
      </c>
    </row>
    <row r="38" spans="1:13">
      <c r="A38" s="50"/>
      <c r="B38" s="50" t="s">
        <v>59</v>
      </c>
      <c r="C38" s="51"/>
      <c r="D38" s="50" t="s">
        <v>69</v>
      </c>
      <c r="E38" s="50">
        <v>1300</v>
      </c>
      <c r="F38" s="50" t="s">
        <v>35</v>
      </c>
      <c r="G38" s="52">
        <f t="shared" si="0"/>
        <v>129.47999999999999</v>
      </c>
      <c r="H38" s="52">
        <f t="shared" si="9"/>
        <v>1300</v>
      </c>
      <c r="I38" s="50" t="s">
        <v>59</v>
      </c>
      <c r="J38" s="50" t="s">
        <v>33</v>
      </c>
      <c r="K38" s="52">
        <f t="shared" si="10"/>
        <v>-650</v>
      </c>
      <c r="L38" s="50"/>
      <c r="M38" s="53">
        <f t="shared" si="2"/>
        <v>-64.739999999999995</v>
      </c>
    </row>
    <row r="39" spans="1:13">
      <c r="A39" s="50"/>
      <c r="B39" s="50" t="s">
        <v>59</v>
      </c>
      <c r="C39" s="51"/>
      <c r="D39" s="50" t="s">
        <v>70</v>
      </c>
      <c r="E39" s="50">
        <v>500</v>
      </c>
      <c r="F39" s="50" t="s">
        <v>35</v>
      </c>
      <c r="G39" s="52">
        <f t="shared" si="0"/>
        <v>49.8</v>
      </c>
      <c r="H39" s="52">
        <f t="shared" si="9"/>
        <v>500</v>
      </c>
      <c r="I39" s="50" t="s">
        <v>59</v>
      </c>
      <c r="J39" s="50" t="s">
        <v>33</v>
      </c>
      <c r="K39" s="52">
        <f t="shared" si="10"/>
        <v>-250</v>
      </c>
      <c r="L39" s="50"/>
      <c r="M39" s="53">
        <f t="shared" si="2"/>
        <v>-24.9</v>
      </c>
    </row>
    <row r="40" spans="1:13">
      <c r="A40" s="50"/>
      <c r="B40" s="50" t="s">
        <v>59</v>
      </c>
      <c r="C40" s="51"/>
      <c r="D40" s="60" t="s">
        <v>71</v>
      </c>
      <c r="E40" s="60">
        <v>1000</v>
      </c>
      <c r="F40" s="60" t="s">
        <v>35</v>
      </c>
      <c r="G40" s="61">
        <f t="shared" ref="G40:G54" si="11">IF(F40="tl",E40*0.2066,IF(F40="inr",E40*0.0996,E40))</f>
        <v>99.6</v>
      </c>
      <c r="H40" s="52">
        <f t="shared" si="9"/>
        <v>1000</v>
      </c>
      <c r="I40" s="50" t="s">
        <v>59</v>
      </c>
      <c r="J40" s="50" t="s">
        <v>33</v>
      </c>
      <c r="K40" s="52">
        <f t="shared" ref="K40:K52" si="12">IF(J40="ja",-H40/2,0)</f>
        <v>-500</v>
      </c>
      <c r="L40" s="50"/>
      <c r="M40" s="53">
        <f t="shared" ref="M40:M52" si="13">K40*0.0996</f>
        <v>-49.8</v>
      </c>
    </row>
    <row r="41" spans="1:13">
      <c r="A41" s="50"/>
      <c r="B41" s="50" t="s">
        <v>59</v>
      </c>
      <c r="C41" s="51"/>
      <c r="D41" s="60" t="s">
        <v>72</v>
      </c>
      <c r="E41" s="60">
        <v>900</v>
      </c>
      <c r="F41" s="60" t="s">
        <v>35</v>
      </c>
      <c r="G41" s="61">
        <v>90</v>
      </c>
      <c r="H41" s="52">
        <f t="shared" si="9"/>
        <v>900</v>
      </c>
      <c r="I41" s="50" t="s">
        <v>59</v>
      </c>
      <c r="J41" s="50" t="s">
        <v>33</v>
      </c>
      <c r="K41" s="52">
        <f t="shared" si="12"/>
        <v>-450</v>
      </c>
      <c r="L41" s="50"/>
      <c r="M41" s="53">
        <f t="shared" si="13"/>
        <v>-44.82</v>
      </c>
    </row>
    <row r="42" spans="1:13">
      <c r="A42" s="50"/>
      <c r="B42" s="50" t="s">
        <v>59</v>
      </c>
      <c r="C42" s="51"/>
      <c r="D42" s="60" t="s">
        <v>73</v>
      </c>
      <c r="E42" s="60">
        <v>1400</v>
      </c>
      <c r="F42" s="60" t="s">
        <v>35</v>
      </c>
      <c r="G42" s="61">
        <f t="shared" si="11"/>
        <v>139.44</v>
      </c>
      <c r="H42" s="52">
        <f t="shared" si="9"/>
        <v>1400</v>
      </c>
      <c r="I42" s="50" t="s">
        <v>59</v>
      </c>
      <c r="J42" s="50" t="s">
        <v>33</v>
      </c>
      <c r="K42" s="52">
        <f t="shared" si="12"/>
        <v>-700</v>
      </c>
      <c r="L42" s="50"/>
      <c r="M42" s="53">
        <f t="shared" si="13"/>
        <v>-69.72</v>
      </c>
    </row>
    <row r="43" spans="1:13">
      <c r="A43" s="50"/>
      <c r="B43" s="50" t="s">
        <v>59</v>
      </c>
      <c r="C43" s="51"/>
      <c r="D43" s="60" t="s">
        <v>74</v>
      </c>
      <c r="E43" s="60">
        <v>2800</v>
      </c>
      <c r="F43" s="60" t="s">
        <v>35</v>
      </c>
      <c r="G43" s="61">
        <f t="shared" si="11"/>
        <v>278.88</v>
      </c>
      <c r="H43" s="52">
        <f t="shared" si="9"/>
        <v>2800</v>
      </c>
      <c r="I43" s="50" t="s">
        <v>59</v>
      </c>
      <c r="J43" s="50" t="s">
        <v>33</v>
      </c>
      <c r="K43" s="52">
        <f t="shared" si="12"/>
        <v>-1400</v>
      </c>
      <c r="L43" s="50"/>
      <c r="M43" s="53">
        <f t="shared" si="13"/>
        <v>-139.44</v>
      </c>
    </row>
    <row r="44" spans="1:13">
      <c r="A44" s="50"/>
      <c r="B44" s="50" t="s">
        <v>59</v>
      </c>
      <c r="C44" s="51"/>
      <c r="D44" s="60" t="s">
        <v>75</v>
      </c>
      <c r="E44" s="60">
        <v>2200</v>
      </c>
      <c r="F44" s="60" t="s">
        <v>35</v>
      </c>
      <c r="G44" s="61">
        <f t="shared" si="11"/>
        <v>219.11999999999998</v>
      </c>
      <c r="H44" s="52">
        <f t="shared" si="9"/>
        <v>2200</v>
      </c>
      <c r="I44" s="50" t="s">
        <v>59</v>
      </c>
      <c r="J44" s="50" t="s">
        <v>33</v>
      </c>
      <c r="K44" s="52">
        <f t="shared" si="12"/>
        <v>-1100</v>
      </c>
      <c r="L44" s="50"/>
      <c r="M44" s="53">
        <f t="shared" si="13"/>
        <v>-109.55999999999999</v>
      </c>
    </row>
    <row r="45" spans="1:13">
      <c r="A45" s="50"/>
      <c r="B45" s="50" t="s">
        <v>59</v>
      </c>
      <c r="C45" s="51"/>
      <c r="D45" s="60" t="s">
        <v>76</v>
      </c>
      <c r="E45" s="60">
        <v>1300</v>
      </c>
      <c r="F45" s="60" t="s">
        <v>35</v>
      </c>
      <c r="G45" s="61">
        <f t="shared" si="11"/>
        <v>129.47999999999999</v>
      </c>
      <c r="H45" s="52">
        <f t="shared" si="9"/>
        <v>1300</v>
      </c>
      <c r="I45" s="50" t="s">
        <v>59</v>
      </c>
      <c r="J45" s="50" t="s">
        <v>33</v>
      </c>
      <c r="K45" s="52">
        <f t="shared" si="12"/>
        <v>-650</v>
      </c>
      <c r="L45" s="50"/>
      <c r="M45" s="53">
        <f t="shared" si="13"/>
        <v>-64.739999999999995</v>
      </c>
    </row>
    <row r="46" spans="1:13">
      <c r="A46" s="50"/>
      <c r="B46" s="50" t="s">
        <v>59</v>
      </c>
      <c r="C46" s="51"/>
      <c r="D46" s="60" t="s">
        <v>77</v>
      </c>
      <c r="E46" s="60">
        <v>1100</v>
      </c>
      <c r="F46" s="60" t="s">
        <v>35</v>
      </c>
      <c r="G46" s="61">
        <f t="shared" si="11"/>
        <v>109.55999999999999</v>
      </c>
      <c r="H46" s="52">
        <f t="shared" si="9"/>
        <v>1100</v>
      </c>
      <c r="I46" s="50" t="s">
        <v>59</v>
      </c>
      <c r="J46" s="50" t="s">
        <v>33</v>
      </c>
      <c r="K46" s="52">
        <f t="shared" si="12"/>
        <v>-550</v>
      </c>
      <c r="L46" s="50"/>
      <c r="M46" s="53">
        <f t="shared" si="13"/>
        <v>-54.779999999999994</v>
      </c>
    </row>
    <row r="47" spans="1:13">
      <c r="A47" s="50"/>
      <c r="B47" s="50" t="s">
        <v>59</v>
      </c>
      <c r="C47" s="51"/>
      <c r="D47" s="60" t="s">
        <v>78</v>
      </c>
      <c r="E47" s="60">
        <v>1300</v>
      </c>
      <c r="F47" s="60" t="s">
        <v>35</v>
      </c>
      <c r="G47" s="61">
        <f t="shared" si="11"/>
        <v>129.47999999999999</v>
      </c>
      <c r="H47" s="52">
        <f t="shared" si="9"/>
        <v>1300</v>
      </c>
      <c r="I47" s="50" t="s">
        <v>59</v>
      </c>
      <c r="J47" s="50" t="s">
        <v>33</v>
      </c>
      <c r="K47" s="52">
        <f t="shared" si="12"/>
        <v>-650</v>
      </c>
      <c r="L47" s="50"/>
      <c r="M47" s="53">
        <f t="shared" si="13"/>
        <v>-64.739999999999995</v>
      </c>
    </row>
    <row r="48" spans="1:13">
      <c r="A48" s="50"/>
      <c r="B48" s="50" t="s">
        <v>59</v>
      </c>
      <c r="C48" s="51"/>
      <c r="D48" s="60" t="s">
        <v>79</v>
      </c>
      <c r="E48" s="60">
        <v>6000</v>
      </c>
      <c r="F48" s="60" t="s">
        <v>35</v>
      </c>
      <c r="G48" s="61">
        <f t="shared" si="11"/>
        <v>597.59999999999991</v>
      </c>
      <c r="H48" s="52">
        <f t="shared" si="9"/>
        <v>6000</v>
      </c>
      <c r="I48" s="50" t="s">
        <v>59</v>
      </c>
      <c r="J48" s="50" t="s">
        <v>33</v>
      </c>
      <c r="K48" s="52">
        <f t="shared" si="12"/>
        <v>-3000</v>
      </c>
      <c r="L48" s="50"/>
      <c r="M48" s="53">
        <f t="shared" si="13"/>
        <v>-298.79999999999995</v>
      </c>
    </row>
    <row r="49" spans="1:13">
      <c r="A49" s="50"/>
      <c r="B49" s="50" t="s">
        <v>59</v>
      </c>
      <c r="C49" s="51"/>
      <c r="D49" s="60"/>
      <c r="E49" s="60"/>
      <c r="F49" s="60" t="s">
        <v>35</v>
      </c>
      <c r="G49" s="61">
        <f t="shared" si="11"/>
        <v>0</v>
      </c>
      <c r="H49" s="52">
        <f t="shared" si="9"/>
        <v>0</v>
      </c>
      <c r="I49" s="50" t="s">
        <v>59</v>
      </c>
      <c r="J49" s="50" t="s">
        <v>33</v>
      </c>
      <c r="K49" s="52">
        <f t="shared" si="12"/>
        <v>0</v>
      </c>
      <c r="L49" s="50"/>
      <c r="M49" s="53">
        <f t="shared" si="13"/>
        <v>0</v>
      </c>
    </row>
    <row r="50" spans="1:13">
      <c r="A50" s="50"/>
      <c r="B50" s="50" t="s">
        <v>59</v>
      </c>
      <c r="C50" s="51"/>
      <c r="D50" s="60"/>
      <c r="E50" s="60"/>
      <c r="F50" s="60" t="s">
        <v>35</v>
      </c>
      <c r="G50" s="61">
        <f t="shared" si="11"/>
        <v>0</v>
      </c>
      <c r="H50" s="52">
        <f t="shared" si="9"/>
        <v>0</v>
      </c>
      <c r="I50" s="50" t="s">
        <v>59</v>
      </c>
      <c r="J50" s="50" t="s">
        <v>33</v>
      </c>
      <c r="K50" s="52">
        <f t="shared" si="12"/>
        <v>0</v>
      </c>
      <c r="L50" s="50"/>
      <c r="M50" s="53">
        <f t="shared" si="13"/>
        <v>0</v>
      </c>
    </row>
    <row r="51" spans="1:13">
      <c r="A51" s="50"/>
      <c r="B51" s="50" t="s">
        <v>59</v>
      </c>
      <c r="C51" s="51"/>
      <c r="D51" s="60"/>
      <c r="E51" s="60"/>
      <c r="F51" s="60" t="s">
        <v>35</v>
      </c>
      <c r="G51" s="61">
        <f t="shared" si="11"/>
        <v>0</v>
      </c>
      <c r="H51" s="52">
        <f t="shared" si="9"/>
        <v>0</v>
      </c>
      <c r="I51" s="50" t="s">
        <v>59</v>
      </c>
      <c r="J51" s="50" t="s">
        <v>33</v>
      </c>
      <c r="K51" s="52">
        <f t="shared" si="12"/>
        <v>0</v>
      </c>
      <c r="L51" s="50"/>
      <c r="M51" s="53">
        <f t="shared" si="13"/>
        <v>0</v>
      </c>
    </row>
    <row r="52" spans="1:13">
      <c r="A52" s="50"/>
      <c r="B52" s="50" t="s">
        <v>59</v>
      </c>
      <c r="C52" s="51"/>
      <c r="D52" s="60" t="s">
        <v>80</v>
      </c>
      <c r="E52" s="60">
        <v>8000</v>
      </c>
      <c r="F52" s="60" t="s">
        <v>35</v>
      </c>
      <c r="G52" s="61">
        <v>8000</v>
      </c>
      <c r="H52" s="52">
        <f t="shared" si="9"/>
        <v>8000</v>
      </c>
      <c r="I52" s="50" t="s">
        <v>59</v>
      </c>
      <c r="J52" s="50" t="s">
        <v>33</v>
      </c>
      <c r="K52" s="52">
        <f t="shared" si="12"/>
        <v>-4000</v>
      </c>
      <c r="L52" s="50"/>
      <c r="M52" s="53">
        <f t="shared" si="13"/>
        <v>-398.4</v>
      </c>
    </row>
    <row r="53" spans="1:13">
      <c r="A53" s="50"/>
      <c r="B53" s="50" t="s">
        <v>59</v>
      </c>
      <c r="C53" s="51"/>
      <c r="D53" s="60" t="s">
        <v>81</v>
      </c>
      <c r="E53" s="60">
        <v>17000</v>
      </c>
      <c r="F53" s="60" t="s">
        <v>35</v>
      </c>
      <c r="G53" s="61"/>
      <c r="H53" s="52">
        <f t="shared" si="9"/>
        <v>17000</v>
      </c>
      <c r="I53" s="50" t="s">
        <v>59</v>
      </c>
      <c r="J53" s="50" t="s">
        <v>33</v>
      </c>
      <c r="K53" s="52">
        <f t="shared" ref="K53:K55" si="14">IF(J53="ja",-H53/2,0)</f>
        <v>-8500</v>
      </c>
      <c r="L53" s="50"/>
      <c r="M53" s="53">
        <f t="shared" ref="M53:M55" si="15">K53*0.0996</f>
        <v>-846.59999999999991</v>
      </c>
    </row>
    <row r="54" spans="1:13">
      <c r="A54" s="50"/>
      <c r="B54" s="50" t="s">
        <v>59</v>
      </c>
      <c r="C54" s="51">
        <v>46066</v>
      </c>
      <c r="D54" s="50"/>
      <c r="E54" s="50">
        <v>0</v>
      </c>
      <c r="F54" s="50" t="s">
        <v>35</v>
      </c>
      <c r="G54" s="52">
        <f t="shared" si="11"/>
        <v>0</v>
      </c>
      <c r="H54" s="52">
        <f t="shared" si="9"/>
        <v>0</v>
      </c>
      <c r="I54" s="50" t="s">
        <v>59</v>
      </c>
      <c r="J54" s="50" t="s">
        <v>33</v>
      </c>
      <c r="K54" s="52">
        <f t="shared" si="14"/>
        <v>0</v>
      </c>
      <c r="L54" s="50"/>
      <c r="M54" s="53">
        <f t="shared" si="15"/>
        <v>0</v>
      </c>
    </row>
    <row r="55" spans="1:13">
      <c r="G55" s="11"/>
      <c r="H55" s="11"/>
      <c r="K55" s="11">
        <f t="shared" si="14"/>
        <v>0</v>
      </c>
      <c r="M55" s="13">
        <f t="shared" si="15"/>
        <v>0</v>
      </c>
    </row>
    <row r="56" spans="1:13">
      <c r="G56" s="11" t="str">
        <f>IF(K56&gt;0,
   "ESS skyldig CP " &amp; TEXT(ROUND(ABS(K56),0),"# ##0") &amp; " INR (" &amp;
   TEXT(ROUND(ABS(M56),0),"# ##0") &amp; " SEK)",
   "CP skyldig ESS " &amp; TEXT(ROUND(ABS(K56),0),"# ##0") &amp; " INR (" &amp;
   TEXT(ROUND(ABS(M56),0),"# ##0") &amp; " SEK)"
)</f>
        <v>CP skyldig ESS 9 733 INR (969 SEK)</v>
      </c>
      <c r="K56" s="11">
        <f>SUM(K2:K55)</f>
        <v>-9733</v>
      </c>
      <c r="M56" s="13">
        <f>ROUND(K56*0.0996,0)</f>
        <v>-969</v>
      </c>
    </row>
    <row r="57" spans="1:13">
      <c r="H57" s="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1066-456C-4B72-8CB0-379D096DBBF7}">
  <sheetPr>
    <pageSetUpPr fitToPage="1"/>
  </sheetPr>
  <dimension ref="A1:J36"/>
  <sheetViews>
    <sheetView workbookViewId="0">
      <selection activeCell="E10" sqref="E10"/>
    </sheetView>
  </sheetViews>
  <sheetFormatPr defaultRowHeight="15"/>
  <cols>
    <col min="3" max="3" width="10.42578125" bestFit="1" customWidth="1"/>
    <col min="4" max="4" width="9.140625" style="15"/>
    <col min="5" max="5" width="35.28515625" style="14" customWidth="1"/>
    <col min="6" max="6" width="37.7109375" style="14" bestFit="1" customWidth="1"/>
    <col min="7" max="7" width="8" style="37" customWidth="1"/>
    <col min="8" max="8" width="8.42578125" style="17" customWidth="1"/>
    <col min="9" max="9" width="13.42578125" style="38" bestFit="1" customWidth="1"/>
    <col min="10" max="10" width="8" style="17" bestFit="1" customWidth="1"/>
  </cols>
  <sheetData>
    <row r="1" spans="1:10" ht="23.25">
      <c r="A1" s="36" t="s">
        <v>82</v>
      </c>
    </row>
    <row r="2" spans="1:10">
      <c r="A2" t="s">
        <v>83</v>
      </c>
      <c r="G2" s="39" t="s">
        <v>84</v>
      </c>
      <c r="H2" s="40"/>
      <c r="I2" s="41"/>
      <c r="J2" s="40"/>
    </row>
    <row r="3" spans="1:10">
      <c r="A3" s="34" t="s">
        <v>85</v>
      </c>
      <c r="B3" s="33" t="s">
        <v>86</v>
      </c>
      <c r="C3" s="32" t="s">
        <v>87</v>
      </c>
      <c r="D3" s="31" t="s">
        <v>88</v>
      </c>
      <c r="E3" s="30" t="s">
        <v>89</v>
      </c>
      <c r="F3" s="29" t="s">
        <v>90</v>
      </c>
      <c r="G3" s="42" t="s">
        <v>91</v>
      </c>
      <c r="H3" s="43" t="s">
        <v>92</v>
      </c>
      <c r="I3" s="44" t="s">
        <v>93</v>
      </c>
      <c r="J3" s="43" t="s">
        <v>94</v>
      </c>
    </row>
    <row r="4" spans="1:10">
      <c r="A4" s="25">
        <v>1</v>
      </c>
      <c r="B4" s="24" t="s">
        <v>95</v>
      </c>
      <c r="C4" s="27">
        <v>45969</v>
      </c>
      <c r="D4" s="26">
        <v>0.60416666666666663</v>
      </c>
      <c r="E4" s="23" t="s">
        <v>96</v>
      </c>
      <c r="F4" s="22"/>
    </row>
    <row r="5" spans="1:10">
      <c r="A5" s="25">
        <v>2</v>
      </c>
      <c r="B5" s="24" t="s">
        <v>97</v>
      </c>
      <c r="C5" s="27">
        <v>46057</v>
      </c>
      <c r="D5" s="26">
        <v>0.65763888888888888</v>
      </c>
      <c r="E5" s="23" t="s">
        <v>98</v>
      </c>
      <c r="F5" s="22"/>
    </row>
    <row r="6" spans="1:10" ht="30">
      <c r="A6" s="25">
        <v>3</v>
      </c>
      <c r="B6" s="24" t="s">
        <v>99</v>
      </c>
      <c r="C6" s="27">
        <v>46081</v>
      </c>
      <c r="D6" s="26">
        <v>0.90277777777777779</v>
      </c>
      <c r="E6" s="23" t="s">
        <v>100</v>
      </c>
      <c r="F6" s="22" t="s">
        <v>101</v>
      </c>
    </row>
    <row r="7" spans="1:10" ht="30">
      <c r="A7" s="25">
        <v>4</v>
      </c>
      <c r="B7" s="35" t="s">
        <v>102</v>
      </c>
      <c r="C7" s="27">
        <v>46081</v>
      </c>
      <c r="D7" s="26">
        <v>0.91666666666666663</v>
      </c>
      <c r="E7" s="23" t="s">
        <v>103</v>
      </c>
      <c r="F7" s="22"/>
    </row>
    <row r="8" spans="1:10" ht="45">
      <c r="A8" s="25">
        <v>5</v>
      </c>
      <c r="B8" s="35" t="s">
        <v>102</v>
      </c>
      <c r="C8" s="27">
        <v>46081</v>
      </c>
      <c r="D8" s="28" t="s">
        <v>104</v>
      </c>
      <c r="E8" s="23" t="s">
        <v>105</v>
      </c>
      <c r="F8" s="22" t="s">
        <v>106</v>
      </c>
    </row>
    <row r="9" spans="1:10">
      <c r="A9" s="25"/>
      <c r="B9" s="35"/>
      <c r="C9" s="27">
        <v>46081</v>
      </c>
      <c r="D9" s="49">
        <v>0.92569444444444449</v>
      </c>
      <c r="E9" s="23" t="s">
        <v>107</v>
      </c>
      <c r="F9" s="22" t="s">
        <v>108</v>
      </c>
    </row>
    <row r="10" spans="1:10">
      <c r="A10" s="25">
        <v>6</v>
      </c>
      <c r="B10" s="24" t="s">
        <v>109</v>
      </c>
      <c r="C10" s="27">
        <v>46082</v>
      </c>
      <c r="D10" s="26">
        <v>1.7361111111111112E-2</v>
      </c>
      <c r="E10" s="23" t="s">
        <v>110</v>
      </c>
      <c r="F10" s="22" t="s">
        <v>111</v>
      </c>
      <c r="G10" s="37">
        <v>17700</v>
      </c>
      <c r="H10" s="17" t="s">
        <v>35</v>
      </c>
      <c r="I10" s="38">
        <v>9.2999999999999992E-3</v>
      </c>
      <c r="J10" s="17">
        <v>164.61</v>
      </c>
    </row>
    <row r="11" spans="1:10" ht="30">
      <c r="A11" s="25">
        <v>7</v>
      </c>
      <c r="B11" s="35" t="s">
        <v>102</v>
      </c>
      <c r="C11" s="27">
        <v>46082</v>
      </c>
      <c r="D11" s="28" t="s">
        <v>112</v>
      </c>
      <c r="E11" s="23" t="s">
        <v>113</v>
      </c>
      <c r="F11" s="22" t="s">
        <v>114</v>
      </c>
    </row>
    <row r="12" spans="1:10" ht="30">
      <c r="A12" s="25">
        <v>8</v>
      </c>
      <c r="B12" s="24" t="s">
        <v>115</v>
      </c>
      <c r="C12" s="27">
        <v>46082</v>
      </c>
      <c r="D12" s="26">
        <v>0.26041666666666669</v>
      </c>
      <c r="E12" s="23" t="s">
        <v>116</v>
      </c>
      <c r="F12" s="22" t="s">
        <v>117</v>
      </c>
    </row>
    <row r="13" spans="1:10">
      <c r="A13" s="25">
        <v>9</v>
      </c>
      <c r="B13" s="35" t="s">
        <v>102</v>
      </c>
      <c r="C13" s="27">
        <v>46082</v>
      </c>
      <c r="D13" s="26">
        <v>0.39097222222222222</v>
      </c>
      <c r="E13" s="23" t="s">
        <v>107</v>
      </c>
      <c r="F13" s="22" t="s">
        <v>108</v>
      </c>
    </row>
    <row r="14" spans="1:10" ht="30">
      <c r="A14" s="25">
        <v>10</v>
      </c>
      <c r="B14" s="35" t="s">
        <v>102</v>
      </c>
      <c r="C14" s="27">
        <v>46082</v>
      </c>
      <c r="D14" s="28" t="s">
        <v>118</v>
      </c>
      <c r="E14" s="23" t="s">
        <v>113</v>
      </c>
      <c r="F14" s="22" t="s">
        <v>114</v>
      </c>
    </row>
    <row r="15" spans="1:10" ht="30">
      <c r="A15" s="25">
        <v>12</v>
      </c>
      <c r="B15" s="35" t="s">
        <v>102</v>
      </c>
      <c r="C15" s="27">
        <v>46082</v>
      </c>
      <c r="D15" s="26">
        <v>0.41666666666666669</v>
      </c>
      <c r="E15" s="23" t="s">
        <v>119</v>
      </c>
      <c r="F15" s="22" t="s">
        <v>120</v>
      </c>
    </row>
    <row r="16" spans="1:10">
      <c r="A16" s="25">
        <v>13</v>
      </c>
      <c r="B16" s="24" t="s">
        <v>109</v>
      </c>
      <c r="C16" s="27">
        <v>46082</v>
      </c>
      <c r="D16" s="26">
        <v>0.4284722222222222</v>
      </c>
      <c r="E16" s="23" t="s">
        <v>121</v>
      </c>
      <c r="F16" s="22" t="s">
        <v>111</v>
      </c>
      <c r="G16" s="37">
        <v>17700</v>
      </c>
      <c r="H16" s="17" t="s">
        <v>35</v>
      </c>
      <c r="I16" s="38">
        <v>9.2999999999999992E-3</v>
      </c>
      <c r="J16" s="17">
        <v>164.61</v>
      </c>
    </row>
    <row r="17" spans="1:10" ht="75">
      <c r="A17" s="25">
        <v>14</v>
      </c>
      <c r="B17" s="24" t="s">
        <v>122</v>
      </c>
      <c r="C17" s="27">
        <v>46082</v>
      </c>
      <c r="D17" s="28" t="s">
        <v>123</v>
      </c>
      <c r="E17" s="23" t="s">
        <v>124</v>
      </c>
      <c r="F17" s="22" t="s">
        <v>125</v>
      </c>
      <c r="G17" s="37">
        <v>903000</v>
      </c>
      <c r="H17" s="17" t="s">
        <v>35</v>
      </c>
      <c r="I17" s="38">
        <v>9.2999999999999992E-3</v>
      </c>
      <c r="J17" s="17">
        <v>8397.9</v>
      </c>
    </row>
    <row r="18" spans="1:10" ht="30">
      <c r="A18" s="25">
        <v>15</v>
      </c>
      <c r="B18" s="24" t="s">
        <v>126</v>
      </c>
      <c r="C18" s="27">
        <v>46083</v>
      </c>
      <c r="D18" s="26">
        <v>0.4513888888888889</v>
      </c>
      <c r="E18" s="23" t="s">
        <v>127</v>
      </c>
      <c r="F18" s="22" t="s">
        <v>128</v>
      </c>
    </row>
    <row r="19" spans="1:10" ht="30">
      <c r="A19" s="21">
        <v>16</v>
      </c>
      <c r="B19" s="20" t="s">
        <v>129</v>
      </c>
      <c r="C19" s="47">
        <v>46083</v>
      </c>
      <c r="D19" s="48">
        <v>0.4513888888888889</v>
      </c>
      <c r="E19" s="19" t="s">
        <v>130</v>
      </c>
      <c r="F19" s="18" t="s">
        <v>128</v>
      </c>
    </row>
    <row r="20" spans="1:10">
      <c r="A20" s="17"/>
      <c r="B20" s="17"/>
      <c r="C20" s="17"/>
      <c r="D20" s="16"/>
      <c r="G20" s="7" t="s">
        <v>131</v>
      </c>
      <c r="H20" s="43"/>
      <c r="I20" s="46"/>
      <c r="J20" s="45"/>
    </row>
    <row r="21" spans="1:10">
      <c r="A21" s="17"/>
      <c r="B21" s="17"/>
      <c r="C21" s="17"/>
      <c r="D21" s="16"/>
    </row>
    <row r="22" spans="1:10">
      <c r="A22" s="17"/>
      <c r="B22" s="17"/>
      <c r="C22" s="17"/>
      <c r="D22" s="16"/>
    </row>
    <row r="23" spans="1:10">
      <c r="A23" s="17"/>
      <c r="B23" s="17"/>
      <c r="C23" s="17"/>
      <c r="D23" s="16"/>
    </row>
    <row r="24" spans="1:10">
      <c r="A24" s="17"/>
      <c r="B24" s="17"/>
      <c r="C24" s="17"/>
      <c r="D24" s="16"/>
    </row>
    <row r="25" spans="1:10">
      <c r="A25" s="17"/>
      <c r="B25" s="17"/>
      <c r="C25" s="17"/>
      <c r="D25" s="16"/>
    </row>
    <row r="26" spans="1:10">
      <c r="A26" s="17"/>
      <c r="B26" s="17"/>
      <c r="C26" s="17"/>
      <c r="D26" s="16"/>
    </row>
    <row r="27" spans="1:10">
      <c r="A27" s="17"/>
      <c r="B27" s="17"/>
      <c r="C27" s="17"/>
      <c r="D27" s="16"/>
    </row>
    <row r="28" spans="1:10">
      <c r="A28" s="17"/>
      <c r="B28" s="17"/>
      <c r="C28" s="17"/>
      <c r="D28" s="16"/>
    </row>
    <row r="29" spans="1:10">
      <c r="A29" s="17"/>
      <c r="B29" s="17"/>
      <c r="C29" s="17"/>
      <c r="D29" s="16"/>
    </row>
    <row r="30" spans="1:10">
      <c r="A30" s="17"/>
      <c r="B30" s="17"/>
      <c r="C30" s="17"/>
      <c r="D30" s="16"/>
    </row>
    <row r="31" spans="1:10">
      <c r="A31" s="17"/>
      <c r="B31" s="17"/>
      <c r="C31" s="17"/>
      <c r="D31" s="16"/>
    </row>
    <row r="32" spans="1:10">
      <c r="A32" s="17"/>
      <c r="B32" s="17"/>
      <c r="C32" s="17"/>
      <c r="D32" s="16"/>
    </row>
    <row r="33" spans="1:4">
      <c r="A33" s="17"/>
      <c r="B33" s="17"/>
      <c r="C33" s="17"/>
      <c r="D33" s="16"/>
    </row>
    <row r="34" spans="1:4">
      <c r="A34" s="17"/>
      <c r="B34" s="17"/>
      <c r="C34" s="17"/>
      <c r="D34" s="16"/>
    </row>
    <row r="35" spans="1:4">
      <c r="A35" s="17"/>
      <c r="B35" s="17"/>
      <c r="C35" s="17"/>
      <c r="D35" s="16"/>
    </row>
    <row r="36" spans="1:4">
      <c r="A36" s="17"/>
      <c r="B36" s="17"/>
      <c r="C36" s="17"/>
      <c r="D36" s="16"/>
    </row>
  </sheetData>
  <pageMargins left="0.23622047244094491" right="0.23622047244094491" top="0.59055118110236227" bottom="0.74803149606299213" header="0.31496062992125984" footer="0.31496062992125984"/>
  <pageSetup paperSize="9" scale="96" fitToHeight="0" orientation="landscape" r:id="rId1"/>
  <headerFooter>
    <oddHeader>&amp;LAppendix I&amp;CSummary of events, resolution and costs&amp;R2026-03-06</oddHeader>
    <oddFooter>&amp;L&amp;F&amp;C&amp;A&amp;R&amp;P/&amp;N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E619-0B4C-4496-B41B-8AC60BFD4712}">
  <dimension ref="A1:M19"/>
  <sheetViews>
    <sheetView workbookViewId="0">
      <selection activeCell="C16" sqref="C16"/>
    </sheetView>
  </sheetViews>
  <sheetFormatPr defaultRowHeight="15"/>
  <cols>
    <col min="2" max="2" width="10.42578125" bestFit="1" customWidth="1"/>
    <col min="3" max="3" width="39" customWidth="1"/>
    <col min="4" max="4" width="10.42578125" bestFit="1" customWidth="1"/>
    <col min="8" max="8" width="1.85546875" customWidth="1"/>
    <col min="9" max="9" width="9.5703125" bestFit="1" customWidth="1"/>
  </cols>
  <sheetData>
    <row r="1" spans="1:13" ht="18.75">
      <c r="A1" s="54" t="s">
        <v>132</v>
      </c>
    </row>
    <row r="4" spans="1:13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133</v>
      </c>
      <c r="G4" s="7" t="s">
        <v>134</v>
      </c>
      <c r="H4" s="7"/>
    </row>
    <row r="5" spans="1:13">
      <c r="A5" t="s">
        <v>29</v>
      </c>
      <c r="B5" s="10">
        <v>46081</v>
      </c>
      <c r="C5" t="s">
        <v>135</v>
      </c>
      <c r="D5" s="55">
        <v>4660</v>
      </c>
      <c r="E5" t="s">
        <v>35</v>
      </c>
      <c r="F5" s="11">
        <v>476</v>
      </c>
      <c r="G5" s="13">
        <f>F5/2</f>
        <v>238</v>
      </c>
      <c r="I5" t="s">
        <v>136</v>
      </c>
    </row>
    <row r="6" spans="1:13">
      <c r="A6" t="s">
        <v>29</v>
      </c>
      <c r="B6" s="10">
        <v>46082</v>
      </c>
      <c r="C6" t="s">
        <v>137</v>
      </c>
      <c r="D6" s="55">
        <v>17700</v>
      </c>
      <c r="E6" t="s">
        <v>35</v>
      </c>
      <c r="F6" s="11">
        <v>1811</v>
      </c>
      <c r="G6" s="13">
        <f>F6/2</f>
        <v>905.5</v>
      </c>
      <c r="I6" t="s">
        <v>138</v>
      </c>
    </row>
    <row r="7" spans="1:13">
      <c r="A7" t="s">
        <v>29</v>
      </c>
      <c r="B7" s="10">
        <v>46082</v>
      </c>
      <c r="C7" t="s">
        <v>137</v>
      </c>
      <c r="D7" s="55">
        <v>17700</v>
      </c>
      <c r="E7" t="s">
        <v>35</v>
      </c>
      <c r="F7" s="11">
        <v>2232</v>
      </c>
      <c r="G7" s="13">
        <f>F7/2</f>
        <v>1116</v>
      </c>
      <c r="I7" t="s">
        <v>138</v>
      </c>
    </row>
    <row r="9" spans="1:13">
      <c r="F9" s="6" t="s">
        <v>139</v>
      </c>
      <c r="G9" s="55">
        <f>SUM(G5:G8)</f>
        <v>2259.5</v>
      </c>
    </row>
    <row r="10" spans="1:13">
      <c r="C10" s="56"/>
      <c r="F10" s="6"/>
      <c r="G10" s="55"/>
      <c r="M10" s="59"/>
    </row>
    <row r="11" spans="1:13">
      <c r="C11" s="62" t="s">
        <v>140</v>
      </c>
      <c r="F11" s="57" t="s">
        <v>141</v>
      </c>
      <c r="G11" s="55">
        <v>1100</v>
      </c>
    </row>
    <row r="12" spans="1:13">
      <c r="F12" s="6" t="str">
        <f>"Värde i Coachingtimmar (/" &amp; G11 &amp; ") ca"</f>
        <v>Värde i Coachingtimmar (/1100) ca</v>
      </c>
      <c r="G12" s="12">
        <v>2</v>
      </c>
    </row>
    <row r="13" spans="1:13">
      <c r="E13" s="7"/>
      <c r="F13" s="7"/>
    </row>
    <row r="14" spans="1:13">
      <c r="F14" s="6" t="s">
        <v>142</v>
      </c>
      <c r="G14" s="55">
        <f>G12*G11</f>
        <v>2200</v>
      </c>
    </row>
    <row r="15" spans="1:13">
      <c r="E15" s="7"/>
      <c r="F15" s="57" t="s">
        <v>143</v>
      </c>
      <c r="G15" s="55">
        <f>G14*0.25</f>
        <v>550</v>
      </c>
    </row>
    <row r="16" spans="1:13">
      <c r="E16" s="7"/>
      <c r="F16" s="57" t="s">
        <v>144</v>
      </c>
      <c r="G16" s="55">
        <f>G14+G15</f>
        <v>2750</v>
      </c>
    </row>
    <row r="19" spans="7:7" ht="21">
      <c r="G19" s="58"/>
    </row>
  </sheetData>
  <sortState xmlns:xlrd2="http://schemas.microsoft.com/office/spreadsheetml/2017/richdata2" ref="A5:G7">
    <sortCondition ref="B5:B7"/>
  </sortState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D90F988E61904D8EC633770BD24B09" ma:contentTypeVersion="13" ma:contentTypeDescription="Skapa ett nytt dokument." ma:contentTypeScope="" ma:versionID="f0377445def874fe0eefb462ae9e293d">
  <xsd:schema xmlns:xsd="http://www.w3.org/2001/XMLSchema" xmlns:xs="http://www.w3.org/2001/XMLSchema" xmlns:p="http://schemas.microsoft.com/office/2006/metadata/properties" xmlns:ns2="0d0275f8-4db0-49f2-b345-0bdc5fda63f3" xmlns:ns3="ef04de5a-ef8f-48f2-bbea-36d99277e398" targetNamespace="http://schemas.microsoft.com/office/2006/metadata/properties" ma:root="true" ma:fieldsID="d700ee8a496478182dfc519d6834b6c1" ns2:_="" ns3:_="">
    <xsd:import namespace="0d0275f8-4db0-49f2-b345-0bdc5fda63f3"/>
    <xsd:import namespace="ef04de5a-ef8f-48f2-bbea-36d99277e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0275f8-4db0-49f2-b345-0bdc5fda6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2324ca79-7faf-4dc5-a120-c9581a243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4de5a-ef8f-48f2-bbea-36d99277e39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662024-0c55-4ba6-bdd2-3dd0073c59d4}" ma:internalName="TaxCatchAll" ma:showField="CatchAllData" ma:web="ef04de5a-ef8f-48f2-bbea-36d99277e3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04de5a-ef8f-48f2-bbea-36d99277e398" xsi:nil="true"/>
    <lcf76f155ced4ddcb4097134ff3c332f xmlns="0d0275f8-4db0-49f2-b345-0bdc5fda63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93B21D-8A7E-47C0-BBA8-83B6EF565994}"/>
</file>

<file path=customXml/itemProps2.xml><?xml version="1.0" encoding="utf-8"?>
<ds:datastoreItem xmlns:ds="http://schemas.openxmlformats.org/officeDocument/2006/customXml" ds:itemID="{D3B83DFB-90F8-48ED-9E37-13BE0C08BB1B}"/>
</file>

<file path=customXml/itemProps3.xml><?xml version="1.0" encoding="utf-8"?>
<ds:datastoreItem xmlns:ds="http://schemas.openxmlformats.org/officeDocument/2006/customXml" ds:itemID="{831AF37A-CDC4-4142-9CB7-D19838E7A3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Clarence Paulson</dc:creator>
  <cp:keywords/>
  <dc:description/>
  <cp:lastModifiedBy>erik.prodess@gmail.com</cp:lastModifiedBy>
  <cp:revision/>
  <dcterms:created xsi:type="dcterms:W3CDTF">2015-06-05T18:19:34Z</dcterms:created>
  <dcterms:modified xsi:type="dcterms:W3CDTF">2026-03-31T17:08:02Z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0x01010016D90F988E61904D8EC633770BD24B09</vt:lpwstr>
  </property>
  <property fmtid="{D5CDD505-2E9C-101B-9397-08002B2CF9AE}" pid="3" name="MediaServiceImageTags">
    <vt:lpwstr/>
  </property>
</Properties>
</file>