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PS-Local\Resor\Indien 2027\Reseförslag\"/>
    </mc:Choice>
  </mc:AlternateContent>
  <xr:revisionPtr revIDLastSave="0" documentId="13_ncr:1_{A6E6ADAB-0B8D-4900-ACF5-E1FCDFA879DF}" xr6:coauthVersionLast="47" xr6:coauthVersionMax="47" xr10:uidLastSave="{00000000-0000-0000-0000-000000000000}"/>
  <bookViews>
    <workbookView xWindow="6945" yWindow="2010" windowWidth="21600" windowHeight="11295" xr2:uid="{D761A4C5-6C5D-4467-9BFE-AE848DE17E5E}"/>
  </bookViews>
  <sheets>
    <sheet name="Resplan" sheetId="2" r:id="rId1"/>
    <sheet name="Sammanräkning 2026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45" i="1" l="1"/>
  <c r="P3" i="1"/>
  <c r="P44" i="1" s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2" i="1"/>
  <c r="H42" i="1"/>
  <c r="K42" i="1" s="1"/>
  <c r="H41" i="1"/>
  <c r="K41" i="1" s="1"/>
  <c r="G41" i="1"/>
  <c r="H40" i="1"/>
  <c r="K40" i="1" s="1"/>
  <c r="M40" i="1" s="1"/>
  <c r="G40" i="1"/>
  <c r="H39" i="1"/>
  <c r="K39" i="1" s="1"/>
  <c r="G39" i="1"/>
  <c r="H38" i="1"/>
  <c r="K38" i="1" s="1"/>
  <c r="M38" i="1" s="1"/>
  <c r="G38" i="1"/>
  <c r="H37" i="1"/>
  <c r="K37" i="1" s="1"/>
  <c r="G37" i="1"/>
  <c r="H36" i="1"/>
  <c r="K36" i="1" s="1"/>
  <c r="M36" i="1" s="1"/>
  <c r="G36" i="1"/>
  <c r="H35" i="1"/>
  <c r="H34" i="1"/>
  <c r="K34" i="1" s="1"/>
  <c r="M34" i="1" s="1"/>
  <c r="G34" i="1"/>
  <c r="H33" i="1"/>
  <c r="G33" i="1"/>
  <c r="H32" i="1"/>
  <c r="K32" i="1" s="1"/>
  <c r="M32" i="1" s="1"/>
  <c r="G32" i="1"/>
  <c r="H31" i="1"/>
  <c r="K31" i="1" s="1"/>
  <c r="G31" i="1"/>
  <c r="H30" i="1"/>
  <c r="K30" i="1" s="1"/>
  <c r="M30" i="1" s="1"/>
  <c r="G30" i="1"/>
  <c r="H29" i="1"/>
  <c r="K29" i="1" s="1"/>
  <c r="G29" i="1"/>
  <c r="H28" i="1"/>
  <c r="K28" i="1" s="1"/>
  <c r="M28" i="1" s="1"/>
  <c r="G28" i="1"/>
  <c r="H27" i="1"/>
  <c r="K27" i="1" s="1"/>
  <c r="G27" i="1"/>
  <c r="H26" i="1"/>
  <c r="K26" i="1" s="1"/>
  <c r="M26" i="1" s="1"/>
  <c r="G26" i="1"/>
  <c r="H25" i="1"/>
  <c r="K25" i="1" s="1"/>
  <c r="M25" i="1" s="1"/>
  <c r="G25" i="1"/>
  <c r="H24" i="1"/>
  <c r="K24" i="1" s="1"/>
  <c r="M24" i="1" s="1"/>
  <c r="G24" i="1"/>
  <c r="H23" i="1"/>
  <c r="K23" i="1" s="1"/>
  <c r="M23" i="1" s="1"/>
  <c r="G23" i="1"/>
  <c r="H22" i="1"/>
  <c r="K22" i="1" s="1"/>
  <c r="M22" i="1" s="1"/>
  <c r="G22" i="1"/>
  <c r="H21" i="1"/>
  <c r="K21" i="1" s="1"/>
  <c r="M21" i="1" s="1"/>
  <c r="G21" i="1"/>
  <c r="H20" i="1"/>
  <c r="K20" i="1" s="1"/>
  <c r="M20" i="1" s="1"/>
  <c r="G20" i="1"/>
  <c r="H19" i="1"/>
  <c r="K19" i="1" s="1"/>
  <c r="M19" i="1" s="1"/>
  <c r="G19" i="1"/>
  <c r="H18" i="1"/>
  <c r="K18" i="1" s="1"/>
  <c r="M18" i="1" s="1"/>
  <c r="G18" i="1"/>
  <c r="H17" i="1"/>
  <c r="K17" i="1" s="1"/>
  <c r="M17" i="1" s="1"/>
  <c r="G17" i="1"/>
  <c r="H16" i="1"/>
  <c r="K16" i="1" s="1"/>
  <c r="M16" i="1" s="1"/>
  <c r="G16" i="1"/>
  <c r="H15" i="1"/>
  <c r="K15" i="1" s="1"/>
  <c r="M15" i="1" s="1"/>
  <c r="G15" i="1"/>
  <c r="H14" i="1"/>
  <c r="K14" i="1" s="1"/>
  <c r="M14" i="1" s="1"/>
  <c r="G14" i="1"/>
  <c r="E13" i="1"/>
  <c r="H13" i="1" s="1"/>
  <c r="K13" i="1" s="1"/>
  <c r="M13" i="1" s="1"/>
  <c r="H12" i="1"/>
  <c r="K12" i="1" s="1"/>
  <c r="M12" i="1" s="1"/>
  <c r="G12" i="1"/>
  <c r="H11" i="1"/>
  <c r="K11" i="1" s="1"/>
  <c r="M11" i="1" s="1"/>
  <c r="G11" i="1"/>
  <c r="H10" i="1"/>
  <c r="K10" i="1" s="1"/>
  <c r="M10" i="1" s="1"/>
  <c r="G10" i="1"/>
  <c r="H9" i="1"/>
  <c r="K9" i="1" s="1"/>
  <c r="M9" i="1" s="1"/>
  <c r="G9" i="1"/>
  <c r="H8" i="1"/>
  <c r="K8" i="1" s="1"/>
  <c r="M8" i="1" s="1"/>
  <c r="G8" i="1"/>
  <c r="H7" i="1"/>
  <c r="K7" i="1" s="1"/>
  <c r="M7" i="1" s="1"/>
  <c r="G7" i="1"/>
  <c r="H6" i="1"/>
  <c r="K6" i="1" s="1"/>
  <c r="M6" i="1" s="1"/>
  <c r="G6" i="1"/>
  <c r="H5" i="1"/>
  <c r="K5" i="1" s="1"/>
  <c r="G5" i="1"/>
  <c r="H4" i="1"/>
  <c r="K4" i="1" s="1"/>
  <c r="M4" i="1" s="1"/>
  <c r="G4" i="1"/>
  <c r="K3" i="1"/>
  <c r="M3" i="1" s="1"/>
  <c r="G3" i="1"/>
  <c r="K2" i="1"/>
  <c r="M2" i="1" s="1"/>
  <c r="G2" i="1"/>
  <c r="K35" i="1" l="1"/>
  <c r="M35" i="1" s="1"/>
  <c r="M37" i="1"/>
  <c r="K33" i="1"/>
  <c r="M33" i="1" s="1"/>
  <c r="M31" i="1"/>
  <c r="M29" i="1"/>
  <c r="M27" i="1"/>
  <c r="M41" i="1"/>
  <c r="M39" i="1"/>
  <c r="M42" i="1"/>
  <c r="M5" i="1"/>
  <c r="G13" i="1"/>
</calcChain>
</file>

<file path=xl/sharedStrings.xml><?xml version="1.0" encoding="utf-8"?>
<sst xmlns="http://schemas.openxmlformats.org/spreadsheetml/2006/main" count="237" uniqueCount="74">
  <si>
    <t>id #</t>
  </si>
  <si>
    <t>utläggare</t>
  </si>
  <si>
    <t>Datum</t>
  </si>
  <si>
    <t>Artikel</t>
  </si>
  <si>
    <t>Belopp</t>
  </si>
  <si>
    <t>Valuta</t>
  </si>
  <si>
    <t>V SEK</t>
  </si>
  <si>
    <t>V INR</t>
  </si>
  <si>
    <t>Av</t>
  </si>
  <si>
    <t>Delas?</t>
  </si>
  <si>
    <t>clearing</t>
  </si>
  <si>
    <t>clearad i SEK</t>
  </si>
  <si>
    <t>cp</t>
  </si>
  <si>
    <t>2026-02.08</t>
  </si>
  <si>
    <t>Mat Istanbils flygplats</t>
  </si>
  <si>
    <t>TL</t>
  </si>
  <si>
    <t>ja</t>
  </si>
  <si>
    <t>Mat / dryck Taj</t>
  </si>
  <si>
    <t>INR</t>
  </si>
  <si>
    <t>Mat / dryck Felix</t>
  </si>
  <si>
    <t>Mat / dryck Felix Leopold</t>
  </si>
  <si>
    <t>Mat / dryck ?</t>
  </si>
  <si>
    <t>Taxi Thivim</t>
  </si>
  <si>
    <t>Mat Adamo</t>
  </si>
  <si>
    <t>Mat påå stranden</t>
  </si>
  <si>
    <t>Massage</t>
  </si>
  <si>
    <t>Vin på Adamo</t>
  </si>
  <si>
    <t>infanteria Pizzor</t>
  </si>
  <si>
    <t>inr</t>
  </si>
  <si>
    <t>middag sista Adamo</t>
  </si>
  <si>
    <t>lunch Mandrem</t>
  </si>
  <si>
    <t>Taxi ToR Mandrem</t>
  </si>
  <si>
    <t>taxi till Palolem</t>
  </si>
  <si>
    <t>Drinkar</t>
  </si>
  <si>
    <t>Cappuchino</t>
  </si>
  <si>
    <t>Lunch</t>
  </si>
  <si>
    <t>Middag</t>
  </si>
  <si>
    <t>Frukost</t>
  </si>
  <si>
    <t>ess</t>
  </si>
  <si>
    <t>Tåg t Goa</t>
  </si>
  <si>
    <t>Taxi från mumbai</t>
  </si>
  <si>
    <t>Stranden 1 Calangute</t>
  </si>
  <si>
    <t>Stranden 2</t>
  </si>
  <si>
    <t>Stranden 3</t>
  </si>
  <si>
    <t>Stranden 4</t>
  </si>
  <si>
    <t>Cocconut rom x</t>
  </si>
  <si>
    <t>Adamo middag</t>
  </si>
  <si>
    <t>Mat Pallolem 23 Frukost</t>
  </si>
  <si>
    <t>Mat Pallolem 23 middag</t>
  </si>
  <si>
    <t>Cozy kväll 4 drinkar mat</t>
  </si>
  <si>
    <t>Royal 22 Jouice cordon blue</t>
  </si>
  <si>
    <t>Frukost 25</t>
  </si>
  <si>
    <t>27 strandmat</t>
  </si>
  <si>
    <t xml:space="preserve">Frukost 28 </t>
  </si>
  <si>
    <t>Kvällsmat drinkar Niranta</t>
  </si>
  <si>
    <t>Delningsfaktor</t>
  </si>
  <si>
    <t>21 d</t>
  </si>
  <si>
    <t>/en</t>
  </si>
  <si>
    <t>Dag #</t>
  </si>
  <si>
    <t>Måne</t>
  </si>
  <si>
    <t>F</t>
  </si>
  <si>
    <t>N</t>
  </si>
  <si>
    <t>Höndelse</t>
  </si>
  <si>
    <t>Resa Arn --&gt; Mumbai</t>
  </si>
  <si>
    <t>Mumbai</t>
  </si>
  <si>
    <t>The Taj</t>
  </si>
  <si>
    <t>Resdag --&gt; Norra Goa</t>
  </si>
  <si>
    <t>Calangute</t>
  </si>
  <si>
    <t>Adamo The Bellus</t>
  </si>
  <si>
    <t>Resdag till Mumbai</t>
  </si>
  <si>
    <t>Hotellnatt flygplatsen</t>
  </si>
  <si>
    <t>Mumbai --&gt; Arn</t>
  </si>
  <si>
    <t>Debriefing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</si>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</sst>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\/m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0" fillId="0" borderId="0" xfId="0" applyNumberFormat="1"/>
    <xf numFmtId="1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3" fontId="0" fillId="2" borderId="0" xfId="0" applyNumberFormat="1" applyFill="1"/>
    <xf numFmtId="1" fontId="0" fillId="2" borderId="0" xfId="0" applyNumberFormat="1" applyFill="1"/>
    <xf numFmtId="0" fontId="0" fillId="3" borderId="0" xfId="0" applyFill="1"/>
    <xf numFmtId="3" fontId="0" fillId="3" borderId="0" xfId="0" applyNumberFormat="1" applyFill="1"/>
    <xf numFmtId="0" fontId="1" fillId="0" borderId="0" xfId="0" quotePrefix="1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 applyAlignment="1">
      <alignment textRotation="90"/>
    </xf>
    <xf numFmtId="0" fontId="0" fillId="4" borderId="0" xfId="0" applyFill="1"/>
    <xf numFmtId="0" fontId="0" fillId="5" borderId="0" xfId="0" applyFill="1"/>
    <xf numFmtId="164" fontId="0" fillId="2" borderId="0" xfId="0" applyNumberFormat="1" applyFill="1" applyAlignment="1">
      <alignment textRotation="90"/>
    </xf>
    <xf numFmtId="164" fontId="0" fillId="6" borderId="0" xfId="0" applyNumberFormat="1" applyFill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8CBE-2EC3-464A-B164-B6C2D9BDAF6E}">
  <dimension ref="A1:AL11"/>
  <sheetViews>
    <sheetView tabSelected="1" workbookViewId="0">
      <pane xSplit="3" ySplit="3" topLeftCell="D4" activePane="bottomRight" state="frozen"/>
      <selection pane="topRight" activeCell="D1" sqref="D1"/>
      <selection pane="bottomLeft" activeCell="A2" sqref="A2"/>
      <selection pane="bottomRight" activeCell="AL6" sqref="AL6"/>
    </sheetView>
  </sheetViews>
  <sheetFormatPr defaultRowHeight="15" x14ac:dyDescent="0.25"/>
  <cols>
    <col min="2" max="2" width="23.5703125" customWidth="1"/>
    <col min="3" max="3" width="3.5703125" customWidth="1"/>
    <col min="4" max="38" width="3.85546875" customWidth="1"/>
  </cols>
  <sheetData>
    <row r="1" spans="1:38" x14ac:dyDescent="0.25">
      <c r="B1" s="13" t="s">
        <v>58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</row>
    <row r="2" spans="1:38" x14ac:dyDescent="0.25">
      <c r="B2" s="13" t="s">
        <v>59</v>
      </c>
      <c r="F2" s="14" t="s">
        <v>60</v>
      </c>
      <c r="T2" s="14" t="s">
        <v>61</v>
      </c>
    </row>
    <row r="3" spans="1:38" ht="103.5" customHeight="1" x14ac:dyDescent="0.25">
      <c r="A3" s="1"/>
      <c r="B3" s="1" t="s">
        <v>62</v>
      </c>
      <c r="D3" s="15">
        <v>46395</v>
      </c>
      <c r="E3" s="18">
        <v>46396</v>
      </c>
      <c r="F3" s="19">
        <v>46397</v>
      </c>
      <c r="G3" s="15">
        <v>46398</v>
      </c>
      <c r="H3" s="15">
        <v>46399</v>
      </c>
      <c r="I3" s="15">
        <v>46400</v>
      </c>
      <c r="J3" s="15">
        <v>46401</v>
      </c>
      <c r="K3" s="15">
        <v>46402</v>
      </c>
      <c r="L3" s="18">
        <v>46403</v>
      </c>
      <c r="M3" s="19">
        <v>46404</v>
      </c>
      <c r="N3" s="15">
        <v>46405</v>
      </c>
      <c r="O3" s="15">
        <v>46406</v>
      </c>
      <c r="P3" s="15">
        <v>46407</v>
      </c>
      <c r="Q3" s="15">
        <v>46408</v>
      </c>
      <c r="R3" s="15">
        <v>46409</v>
      </c>
      <c r="S3" s="18">
        <v>46410</v>
      </c>
      <c r="T3" s="19">
        <v>46411</v>
      </c>
      <c r="U3" s="15">
        <v>46412</v>
      </c>
      <c r="V3" s="15">
        <v>46413</v>
      </c>
      <c r="W3" s="15">
        <v>46414</v>
      </c>
      <c r="X3" s="15">
        <v>46415</v>
      </c>
      <c r="Y3" s="15">
        <v>46416</v>
      </c>
      <c r="Z3" s="15">
        <v>46417</v>
      </c>
      <c r="AA3" s="15">
        <v>46418</v>
      </c>
      <c r="AB3" s="15">
        <v>46419</v>
      </c>
      <c r="AC3" s="15">
        <v>46420</v>
      </c>
      <c r="AD3" s="15">
        <v>46421</v>
      </c>
      <c r="AE3" s="15">
        <v>46422</v>
      </c>
      <c r="AF3" s="15">
        <v>46423</v>
      </c>
      <c r="AG3" s="15">
        <v>46424</v>
      </c>
      <c r="AH3" s="15">
        <v>46425</v>
      </c>
      <c r="AI3" s="15">
        <v>46426</v>
      </c>
      <c r="AJ3" s="15">
        <v>46427</v>
      </c>
      <c r="AK3" s="15">
        <v>46428</v>
      </c>
      <c r="AL3" s="15">
        <v>46429</v>
      </c>
    </row>
    <row r="4" spans="1:38" x14ac:dyDescent="0.25">
      <c r="B4" t="s">
        <v>63</v>
      </c>
      <c r="D4" s="16"/>
    </row>
    <row r="5" spans="1:38" x14ac:dyDescent="0.25">
      <c r="B5" t="s">
        <v>64</v>
      </c>
      <c r="D5" s="17" t="s">
        <v>65</v>
      </c>
      <c r="E5" s="17"/>
      <c r="F5" s="17"/>
    </row>
    <row r="6" spans="1:38" x14ac:dyDescent="0.25">
      <c r="B6" t="s">
        <v>66</v>
      </c>
      <c r="F6" s="16"/>
    </row>
    <row r="7" spans="1:38" x14ac:dyDescent="0.25">
      <c r="B7" t="s">
        <v>67</v>
      </c>
      <c r="F7" s="17"/>
      <c r="G7" s="17" t="s">
        <v>68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38" x14ac:dyDescent="0.25">
      <c r="B8" t="s">
        <v>69</v>
      </c>
      <c r="S8" s="16"/>
    </row>
    <row r="9" spans="1:38" x14ac:dyDescent="0.25">
      <c r="B9" t="s">
        <v>70</v>
      </c>
      <c r="S9" s="17"/>
      <c r="T9" s="17"/>
    </row>
    <row r="10" spans="1:38" x14ac:dyDescent="0.25">
      <c r="B10" t="s">
        <v>71</v>
      </c>
      <c r="T10" s="16"/>
      <c r="U10" s="16"/>
    </row>
    <row r="11" spans="1:38" x14ac:dyDescent="0.25">
      <c r="B11" t="s">
        <v>72</v>
      </c>
      <c r="AL11" t="s">
        <v>73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755E-4DE9-4945-B96D-BB45CDEF6EB6}">
  <dimension ref="A1:P45"/>
  <sheetViews>
    <sheetView topLeftCell="A25" workbookViewId="0">
      <selection activeCell="P46" sqref="P46"/>
    </sheetView>
  </sheetViews>
  <sheetFormatPr defaultRowHeight="15" x14ac:dyDescent="0.25"/>
  <cols>
    <col min="3" max="3" width="10.42578125" bestFit="1" customWidth="1"/>
    <col min="4" max="4" width="25.85546875" bestFit="1" customWidth="1"/>
    <col min="13" max="13" width="12.42578125" bestFit="1" customWidth="1"/>
    <col min="15" max="15" width="14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2" t="s">
        <v>11</v>
      </c>
      <c r="O1" s="1" t="s">
        <v>55</v>
      </c>
      <c r="P1" s="12" t="s">
        <v>57</v>
      </c>
    </row>
    <row r="2" spans="1:16" x14ac:dyDescent="0.25">
      <c r="A2">
        <v>1</v>
      </c>
      <c r="B2" t="s">
        <v>12</v>
      </c>
      <c r="C2" t="s">
        <v>13</v>
      </c>
      <c r="D2" t="s">
        <v>14</v>
      </c>
      <c r="E2">
        <v>4867</v>
      </c>
      <c r="F2" t="s">
        <v>15</v>
      </c>
      <c r="G2" s="3">
        <f>IF(F2="tl",E2*0.2066,IF(F2="inr",E2*0.0996,E2))</f>
        <v>1005.5222</v>
      </c>
      <c r="H2" s="3">
        <v>10170</v>
      </c>
      <c r="I2" t="s">
        <v>12</v>
      </c>
      <c r="J2" t="s">
        <v>16</v>
      </c>
      <c r="K2" s="3">
        <f>IF(J2="ja",H2/2,0)</f>
        <v>5085</v>
      </c>
      <c r="M2" s="4">
        <f>K2*0.0996</f>
        <v>506.46599999999995</v>
      </c>
      <c r="O2">
        <v>0.5</v>
      </c>
      <c r="P2">
        <f>G2*O2</f>
        <v>502.7611</v>
      </c>
    </row>
    <row r="3" spans="1:16" x14ac:dyDescent="0.25">
      <c r="A3">
        <v>2</v>
      </c>
      <c r="B3" t="s">
        <v>12</v>
      </c>
      <c r="C3" t="s">
        <v>13</v>
      </c>
      <c r="D3" t="s">
        <v>14</v>
      </c>
      <c r="E3">
        <v>1383</v>
      </c>
      <c r="F3" t="s">
        <v>15</v>
      </c>
      <c r="G3" s="3">
        <f t="shared" ref="G3:G41" si="0">IF(F3="tl",E3*0.2066,IF(F3="inr",E3*0.0996,E3))</f>
        <v>285.7278</v>
      </c>
      <c r="H3" s="3">
        <v>2867</v>
      </c>
      <c r="I3" t="s">
        <v>12</v>
      </c>
      <c r="J3" t="s">
        <v>16</v>
      </c>
      <c r="K3" s="3">
        <f t="shared" ref="K3:K13" si="1">IF(J3="ja",H3/2,0)</f>
        <v>1433.5</v>
      </c>
      <c r="M3" s="4">
        <f t="shared" ref="M3:M42" si="2">K3*0.0996</f>
        <v>142.7766</v>
      </c>
      <c r="O3">
        <v>0.5</v>
      </c>
      <c r="P3">
        <f t="shared" ref="P3:P42" si="3">G3*O3</f>
        <v>142.8639</v>
      </c>
    </row>
    <row r="4" spans="1:16" x14ac:dyDescent="0.25">
      <c r="A4">
        <v>3</v>
      </c>
      <c r="B4" t="s">
        <v>12</v>
      </c>
      <c r="C4" s="5">
        <v>46062</v>
      </c>
      <c r="D4" t="s">
        <v>17</v>
      </c>
      <c r="E4">
        <v>2500</v>
      </c>
      <c r="F4" t="s">
        <v>18</v>
      </c>
      <c r="G4" s="3">
        <f t="shared" si="0"/>
        <v>248.99999999999997</v>
      </c>
      <c r="H4" s="3">
        <f t="shared" ref="H4:H42" si="4">E4</f>
        <v>2500</v>
      </c>
      <c r="I4" t="s">
        <v>12</v>
      </c>
      <c r="J4" t="s">
        <v>16</v>
      </c>
      <c r="K4" s="3">
        <f t="shared" si="1"/>
        <v>1250</v>
      </c>
      <c r="M4" s="4">
        <f t="shared" si="2"/>
        <v>124.49999999999999</v>
      </c>
      <c r="O4">
        <v>0.5</v>
      </c>
      <c r="P4">
        <f t="shared" si="3"/>
        <v>124.49999999999999</v>
      </c>
    </row>
    <row r="5" spans="1:16" x14ac:dyDescent="0.25">
      <c r="A5">
        <v>4</v>
      </c>
      <c r="B5" t="s">
        <v>12</v>
      </c>
      <c r="C5" s="5">
        <v>46062</v>
      </c>
      <c r="D5" t="s">
        <v>17</v>
      </c>
      <c r="E5">
        <v>2160</v>
      </c>
      <c r="F5" t="s">
        <v>18</v>
      </c>
      <c r="G5" s="3">
        <f t="shared" si="0"/>
        <v>215.136</v>
      </c>
      <c r="H5" s="3">
        <f t="shared" si="4"/>
        <v>2160</v>
      </c>
      <c r="I5" t="s">
        <v>12</v>
      </c>
      <c r="J5" t="s">
        <v>16</v>
      </c>
      <c r="K5" s="3">
        <f t="shared" si="1"/>
        <v>1080</v>
      </c>
      <c r="M5" s="4">
        <f t="shared" si="2"/>
        <v>107.568</v>
      </c>
      <c r="O5">
        <v>0.5</v>
      </c>
      <c r="P5">
        <f t="shared" si="3"/>
        <v>107.568</v>
      </c>
    </row>
    <row r="6" spans="1:16" x14ac:dyDescent="0.25">
      <c r="A6">
        <v>5</v>
      </c>
      <c r="B6" t="s">
        <v>12</v>
      </c>
      <c r="C6" s="5">
        <v>46062</v>
      </c>
      <c r="D6" t="s">
        <v>19</v>
      </c>
      <c r="E6">
        <v>2400</v>
      </c>
      <c r="F6" t="s">
        <v>18</v>
      </c>
      <c r="G6" s="3">
        <f t="shared" si="0"/>
        <v>239.04</v>
      </c>
      <c r="H6" s="3">
        <f t="shared" si="4"/>
        <v>2400</v>
      </c>
      <c r="I6" t="s">
        <v>12</v>
      </c>
      <c r="J6" t="s">
        <v>16</v>
      </c>
      <c r="K6" s="3">
        <f>IF(J6="ja",H6/2,0)</f>
        <v>1200</v>
      </c>
      <c r="M6" s="4">
        <f t="shared" si="2"/>
        <v>119.52</v>
      </c>
      <c r="O6">
        <v>0.5</v>
      </c>
      <c r="P6">
        <f t="shared" si="3"/>
        <v>119.52</v>
      </c>
    </row>
    <row r="7" spans="1:16" x14ac:dyDescent="0.25">
      <c r="A7">
        <v>6</v>
      </c>
      <c r="B7" t="s">
        <v>12</v>
      </c>
      <c r="C7" s="5">
        <v>46062</v>
      </c>
      <c r="D7" t="s">
        <v>20</v>
      </c>
      <c r="E7">
        <v>1017</v>
      </c>
      <c r="F7" t="s">
        <v>18</v>
      </c>
      <c r="G7" s="3">
        <f t="shared" si="0"/>
        <v>101.2932</v>
      </c>
      <c r="H7" s="3">
        <f t="shared" si="4"/>
        <v>1017</v>
      </c>
      <c r="I7" t="s">
        <v>12</v>
      </c>
      <c r="J7" t="s">
        <v>16</v>
      </c>
      <c r="K7" s="3">
        <f t="shared" si="1"/>
        <v>508.5</v>
      </c>
      <c r="M7" s="4">
        <f t="shared" si="2"/>
        <v>50.646599999999999</v>
      </c>
      <c r="O7">
        <v>0.5</v>
      </c>
      <c r="P7">
        <f t="shared" si="3"/>
        <v>50.646599999999999</v>
      </c>
    </row>
    <row r="8" spans="1:16" x14ac:dyDescent="0.25">
      <c r="A8">
        <v>7</v>
      </c>
      <c r="B8" t="s">
        <v>12</v>
      </c>
      <c r="C8" s="5">
        <v>46063</v>
      </c>
      <c r="D8" t="s">
        <v>21</v>
      </c>
      <c r="E8">
        <v>1354</v>
      </c>
      <c r="F8" t="s">
        <v>18</v>
      </c>
      <c r="G8" s="3">
        <f t="shared" si="0"/>
        <v>134.85839999999999</v>
      </c>
      <c r="H8" s="3">
        <f t="shared" si="4"/>
        <v>1354</v>
      </c>
      <c r="I8" t="s">
        <v>12</v>
      </c>
      <c r="J8" t="s">
        <v>16</v>
      </c>
      <c r="K8" s="3">
        <f t="shared" si="1"/>
        <v>677</v>
      </c>
      <c r="M8" s="4">
        <f t="shared" si="2"/>
        <v>67.429199999999994</v>
      </c>
      <c r="O8">
        <v>0.5</v>
      </c>
      <c r="P8">
        <f t="shared" si="3"/>
        <v>67.429199999999994</v>
      </c>
    </row>
    <row r="9" spans="1:16" x14ac:dyDescent="0.25">
      <c r="A9">
        <v>8</v>
      </c>
      <c r="B9" t="s">
        <v>12</v>
      </c>
      <c r="C9" s="5">
        <v>46063</v>
      </c>
      <c r="D9" t="s">
        <v>17</v>
      </c>
      <c r="E9">
        <v>2566</v>
      </c>
      <c r="F9" t="s">
        <v>18</v>
      </c>
      <c r="G9" s="3">
        <f t="shared" si="0"/>
        <v>255.5736</v>
      </c>
      <c r="H9" s="3">
        <f t="shared" si="4"/>
        <v>2566</v>
      </c>
      <c r="I9" t="s">
        <v>12</v>
      </c>
      <c r="J9" t="s">
        <v>16</v>
      </c>
      <c r="K9" s="3">
        <f t="shared" si="1"/>
        <v>1283</v>
      </c>
      <c r="M9" s="4">
        <f t="shared" si="2"/>
        <v>127.7868</v>
      </c>
      <c r="O9">
        <v>0.5</v>
      </c>
      <c r="P9">
        <f t="shared" si="3"/>
        <v>127.7868</v>
      </c>
    </row>
    <row r="10" spans="1:16" x14ac:dyDescent="0.25">
      <c r="A10">
        <v>10</v>
      </c>
      <c r="B10" t="s">
        <v>12</v>
      </c>
      <c r="C10" s="5">
        <v>46064</v>
      </c>
      <c r="D10" t="s">
        <v>22</v>
      </c>
      <c r="E10">
        <v>900</v>
      </c>
      <c r="F10" t="s">
        <v>18</v>
      </c>
      <c r="G10" s="3">
        <f t="shared" si="0"/>
        <v>89.64</v>
      </c>
      <c r="H10" s="3">
        <f t="shared" si="4"/>
        <v>900</v>
      </c>
      <c r="I10" t="s">
        <v>12</v>
      </c>
      <c r="J10" t="s">
        <v>16</v>
      </c>
      <c r="K10" s="3">
        <f t="shared" si="1"/>
        <v>450</v>
      </c>
      <c r="M10" s="4">
        <f t="shared" si="2"/>
        <v>44.82</v>
      </c>
      <c r="O10">
        <v>0.5</v>
      </c>
      <c r="P10">
        <f t="shared" si="3"/>
        <v>44.82</v>
      </c>
    </row>
    <row r="11" spans="1:16" x14ac:dyDescent="0.25">
      <c r="A11">
        <v>11</v>
      </c>
      <c r="B11" t="s">
        <v>12</v>
      </c>
      <c r="C11" s="5">
        <v>46064</v>
      </c>
      <c r="D11" t="s">
        <v>23</v>
      </c>
      <c r="E11">
        <v>1250</v>
      </c>
      <c r="F11" t="s">
        <v>18</v>
      </c>
      <c r="G11" s="3">
        <f t="shared" si="0"/>
        <v>124.49999999999999</v>
      </c>
      <c r="H11" s="3">
        <f t="shared" si="4"/>
        <v>1250</v>
      </c>
      <c r="I11" t="s">
        <v>12</v>
      </c>
      <c r="J11" t="s">
        <v>16</v>
      </c>
      <c r="K11" s="3">
        <f t="shared" si="1"/>
        <v>625</v>
      </c>
      <c r="M11" s="4">
        <f t="shared" si="2"/>
        <v>62.249999999999993</v>
      </c>
      <c r="O11">
        <v>0.5</v>
      </c>
      <c r="P11">
        <f t="shared" si="3"/>
        <v>62.249999999999993</v>
      </c>
    </row>
    <row r="12" spans="1:16" x14ac:dyDescent="0.25">
      <c r="A12">
        <v>12</v>
      </c>
      <c r="B12" t="s">
        <v>12</v>
      </c>
      <c r="C12" s="5">
        <v>46065</v>
      </c>
      <c r="D12" t="s">
        <v>24</v>
      </c>
      <c r="E12">
        <v>4300</v>
      </c>
      <c r="F12" t="s">
        <v>18</v>
      </c>
      <c r="G12" s="3">
        <f t="shared" si="0"/>
        <v>428.28</v>
      </c>
      <c r="H12" s="3">
        <f t="shared" si="4"/>
        <v>4300</v>
      </c>
      <c r="I12" t="s">
        <v>12</v>
      </c>
      <c r="J12" t="s">
        <v>16</v>
      </c>
      <c r="K12" s="3">
        <f t="shared" si="1"/>
        <v>2150</v>
      </c>
      <c r="M12" s="4">
        <f t="shared" si="2"/>
        <v>214.14</v>
      </c>
      <c r="O12">
        <v>0.5</v>
      </c>
      <c r="P12">
        <f t="shared" si="3"/>
        <v>214.14</v>
      </c>
    </row>
    <row r="13" spans="1:16" x14ac:dyDescent="0.25">
      <c r="A13">
        <v>13</v>
      </c>
      <c r="B13" t="s">
        <v>12</v>
      </c>
      <c r="C13" s="5">
        <v>46066</v>
      </c>
      <c r="D13" t="s">
        <v>25</v>
      </c>
      <c r="E13">
        <f>1200*2</f>
        <v>2400</v>
      </c>
      <c r="F13" t="s">
        <v>18</v>
      </c>
      <c r="G13" s="3">
        <f t="shared" si="0"/>
        <v>239.04</v>
      </c>
      <c r="H13" s="3">
        <f t="shared" si="4"/>
        <v>2400</v>
      </c>
      <c r="I13" t="s">
        <v>12</v>
      </c>
      <c r="J13" t="s">
        <v>16</v>
      </c>
      <c r="K13" s="3">
        <f t="shared" si="1"/>
        <v>1200</v>
      </c>
      <c r="M13" s="4">
        <f t="shared" si="2"/>
        <v>119.52</v>
      </c>
      <c r="O13">
        <v>0.5</v>
      </c>
      <c r="P13">
        <f t="shared" si="3"/>
        <v>119.52</v>
      </c>
    </row>
    <row r="14" spans="1:16" x14ac:dyDescent="0.25">
      <c r="A14">
        <v>15</v>
      </c>
      <c r="B14" t="s">
        <v>12</v>
      </c>
      <c r="C14" s="5">
        <v>46068</v>
      </c>
      <c r="D14" t="s">
        <v>26</v>
      </c>
      <c r="E14">
        <v>1350</v>
      </c>
      <c r="F14" t="s">
        <v>18</v>
      </c>
      <c r="G14" s="3">
        <f t="shared" si="0"/>
        <v>134.45999999999998</v>
      </c>
      <c r="H14" s="3">
        <f t="shared" si="4"/>
        <v>1350</v>
      </c>
      <c r="I14" t="s">
        <v>12</v>
      </c>
      <c r="J14" t="s">
        <v>16</v>
      </c>
      <c r="K14" s="3">
        <f>IF(J14="ja",H14/2,0)</f>
        <v>675</v>
      </c>
      <c r="M14" s="4">
        <f t="shared" si="2"/>
        <v>67.22999999999999</v>
      </c>
      <c r="O14">
        <v>0.5</v>
      </c>
      <c r="P14">
        <f t="shared" si="3"/>
        <v>67.22999999999999</v>
      </c>
    </row>
    <row r="15" spans="1:16" x14ac:dyDescent="0.25">
      <c r="A15">
        <v>16</v>
      </c>
      <c r="B15" t="s">
        <v>12</v>
      </c>
      <c r="C15" s="5">
        <v>46071</v>
      </c>
      <c r="D15" t="s">
        <v>27</v>
      </c>
      <c r="E15">
        <v>1600</v>
      </c>
      <c r="F15" t="s">
        <v>28</v>
      </c>
      <c r="G15" s="3">
        <f t="shared" si="0"/>
        <v>159.35999999999999</v>
      </c>
      <c r="H15" s="3">
        <f t="shared" si="4"/>
        <v>1600</v>
      </c>
      <c r="I15" t="s">
        <v>12</v>
      </c>
      <c r="J15" t="s">
        <v>16</v>
      </c>
      <c r="K15" s="3">
        <f t="shared" ref="K15:K33" si="5">IF(J15="ja",H15/2,0)</f>
        <v>800</v>
      </c>
      <c r="M15" s="4">
        <f t="shared" si="2"/>
        <v>79.679999999999993</v>
      </c>
      <c r="O15">
        <v>0.5</v>
      </c>
      <c r="P15">
        <f t="shared" si="3"/>
        <v>79.679999999999993</v>
      </c>
    </row>
    <row r="16" spans="1:16" x14ac:dyDescent="0.25">
      <c r="A16">
        <v>17</v>
      </c>
      <c r="B16" t="s">
        <v>12</v>
      </c>
      <c r="C16" s="5">
        <v>46074</v>
      </c>
      <c r="D16" t="s">
        <v>29</v>
      </c>
      <c r="E16">
        <v>1600</v>
      </c>
      <c r="F16" t="s">
        <v>18</v>
      </c>
      <c r="G16" s="3">
        <f t="shared" si="0"/>
        <v>159.35999999999999</v>
      </c>
      <c r="H16" s="3">
        <f t="shared" si="4"/>
        <v>1600</v>
      </c>
      <c r="I16" t="s">
        <v>12</v>
      </c>
      <c r="J16" t="s">
        <v>16</v>
      </c>
      <c r="K16" s="3">
        <f t="shared" si="5"/>
        <v>800</v>
      </c>
      <c r="M16" s="4">
        <f t="shared" si="2"/>
        <v>79.679999999999993</v>
      </c>
      <c r="O16">
        <v>0.5</v>
      </c>
      <c r="P16">
        <f t="shared" si="3"/>
        <v>79.679999999999993</v>
      </c>
    </row>
    <row r="17" spans="1:16" x14ac:dyDescent="0.25">
      <c r="A17">
        <v>18</v>
      </c>
      <c r="B17" t="s">
        <v>12</v>
      </c>
      <c r="C17" s="5">
        <v>46074</v>
      </c>
      <c r="D17" t="s">
        <v>30</v>
      </c>
      <c r="E17">
        <v>1800</v>
      </c>
      <c r="F17" t="s">
        <v>18</v>
      </c>
      <c r="G17" s="3">
        <f t="shared" si="0"/>
        <v>179.28</v>
      </c>
      <c r="H17" s="3">
        <f t="shared" si="4"/>
        <v>1800</v>
      </c>
      <c r="I17" t="s">
        <v>12</v>
      </c>
      <c r="J17" t="s">
        <v>16</v>
      </c>
      <c r="K17" s="3">
        <f t="shared" si="5"/>
        <v>900</v>
      </c>
      <c r="M17" s="4">
        <f t="shared" si="2"/>
        <v>89.64</v>
      </c>
      <c r="O17">
        <v>0.5</v>
      </c>
      <c r="P17">
        <f t="shared" si="3"/>
        <v>89.64</v>
      </c>
    </row>
    <row r="18" spans="1:16" x14ac:dyDescent="0.25">
      <c r="A18">
        <v>19</v>
      </c>
      <c r="B18" t="s">
        <v>12</v>
      </c>
      <c r="C18" s="5">
        <v>46074</v>
      </c>
      <c r="D18" t="s">
        <v>31</v>
      </c>
      <c r="E18">
        <v>3000</v>
      </c>
      <c r="F18" t="s">
        <v>18</v>
      </c>
      <c r="G18" s="3">
        <f t="shared" si="0"/>
        <v>298.79999999999995</v>
      </c>
      <c r="H18" s="3">
        <f t="shared" si="4"/>
        <v>3000</v>
      </c>
      <c r="I18" t="s">
        <v>12</v>
      </c>
      <c r="J18" t="s">
        <v>16</v>
      </c>
      <c r="K18" s="3">
        <f t="shared" si="5"/>
        <v>1500</v>
      </c>
      <c r="M18" s="4">
        <f t="shared" si="2"/>
        <v>149.39999999999998</v>
      </c>
      <c r="O18">
        <v>0.5</v>
      </c>
      <c r="P18">
        <f t="shared" si="3"/>
        <v>149.39999999999998</v>
      </c>
    </row>
    <row r="19" spans="1:16" x14ac:dyDescent="0.25">
      <c r="A19">
        <v>27</v>
      </c>
      <c r="B19" t="s">
        <v>12</v>
      </c>
      <c r="C19" s="5">
        <v>46075</v>
      </c>
      <c r="D19" t="s">
        <v>32</v>
      </c>
      <c r="E19">
        <v>4000</v>
      </c>
      <c r="F19" t="s">
        <v>18</v>
      </c>
      <c r="G19" s="3">
        <f t="shared" si="0"/>
        <v>398.4</v>
      </c>
      <c r="H19" s="3">
        <f t="shared" si="4"/>
        <v>4000</v>
      </c>
      <c r="J19" t="s">
        <v>16</v>
      </c>
      <c r="K19" s="3">
        <f t="shared" si="5"/>
        <v>2000</v>
      </c>
      <c r="M19" s="4">
        <f t="shared" si="2"/>
        <v>199.2</v>
      </c>
      <c r="O19">
        <v>0.5</v>
      </c>
      <c r="P19">
        <f t="shared" si="3"/>
        <v>199.2</v>
      </c>
    </row>
    <row r="20" spans="1:16" x14ac:dyDescent="0.25">
      <c r="A20">
        <v>20</v>
      </c>
      <c r="B20" t="s">
        <v>12</v>
      </c>
      <c r="C20" s="5">
        <v>46076</v>
      </c>
      <c r="D20" t="s">
        <v>33</v>
      </c>
      <c r="E20">
        <v>2200</v>
      </c>
      <c r="F20" t="s">
        <v>18</v>
      </c>
      <c r="G20" s="3">
        <f t="shared" si="0"/>
        <v>219.11999999999998</v>
      </c>
      <c r="H20" s="3">
        <f t="shared" si="4"/>
        <v>2200</v>
      </c>
      <c r="I20" t="s">
        <v>12</v>
      </c>
      <c r="J20" t="s">
        <v>16</v>
      </c>
      <c r="K20" s="3">
        <f t="shared" si="5"/>
        <v>1100</v>
      </c>
      <c r="M20" s="4">
        <f t="shared" si="2"/>
        <v>109.55999999999999</v>
      </c>
      <c r="O20">
        <v>0.5</v>
      </c>
      <c r="P20">
        <f t="shared" si="3"/>
        <v>109.55999999999999</v>
      </c>
    </row>
    <row r="21" spans="1:16" x14ac:dyDescent="0.25">
      <c r="A21">
        <v>21</v>
      </c>
      <c r="B21" t="s">
        <v>12</v>
      </c>
      <c r="C21" s="5">
        <v>46076</v>
      </c>
      <c r="D21" t="s">
        <v>34</v>
      </c>
      <c r="E21">
        <v>300</v>
      </c>
      <c r="F21" t="s">
        <v>18</v>
      </c>
      <c r="G21" s="3">
        <f t="shared" si="0"/>
        <v>29.88</v>
      </c>
      <c r="H21" s="3">
        <f t="shared" si="4"/>
        <v>300</v>
      </c>
      <c r="I21" t="s">
        <v>12</v>
      </c>
      <c r="J21" t="s">
        <v>16</v>
      </c>
      <c r="K21" s="3">
        <f t="shared" si="5"/>
        <v>150</v>
      </c>
      <c r="M21" s="4">
        <f t="shared" si="2"/>
        <v>14.94</v>
      </c>
      <c r="O21">
        <v>0.5</v>
      </c>
      <c r="P21">
        <f t="shared" si="3"/>
        <v>14.94</v>
      </c>
    </row>
    <row r="22" spans="1:16" x14ac:dyDescent="0.25">
      <c r="A22">
        <v>22</v>
      </c>
      <c r="B22" t="s">
        <v>12</v>
      </c>
      <c r="C22" s="5">
        <v>46077</v>
      </c>
      <c r="D22" t="s">
        <v>35</v>
      </c>
      <c r="E22">
        <v>1500</v>
      </c>
      <c r="F22" t="s">
        <v>18</v>
      </c>
      <c r="G22" s="3">
        <f t="shared" si="0"/>
        <v>149.39999999999998</v>
      </c>
      <c r="H22" s="3">
        <f t="shared" si="4"/>
        <v>1500</v>
      </c>
      <c r="I22" t="s">
        <v>12</v>
      </c>
      <c r="J22" t="s">
        <v>16</v>
      </c>
      <c r="K22" s="3">
        <f t="shared" si="5"/>
        <v>750</v>
      </c>
      <c r="M22" s="4">
        <f t="shared" si="2"/>
        <v>74.699999999999989</v>
      </c>
      <c r="O22">
        <v>0.5</v>
      </c>
      <c r="P22">
        <f t="shared" si="3"/>
        <v>74.699999999999989</v>
      </c>
    </row>
    <row r="23" spans="1:16" x14ac:dyDescent="0.25">
      <c r="A23">
        <v>23</v>
      </c>
      <c r="B23" t="s">
        <v>12</v>
      </c>
      <c r="C23" s="5">
        <v>46077</v>
      </c>
      <c r="D23" t="s">
        <v>36</v>
      </c>
      <c r="E23">
        <v>2000</v>
      </c>
      <c r="F23" t="s">
        <v>18</v>
      </c>
      <c r="G23" s="3">
        <f t="shared" si="0"/>
        <v>199.2</v>
      </c>
      <c r="H23" s="3">
        <f t="shared" si="4"/>
        <v>2000</v>
      </c>
      <c r="I23" t="s">
        <v>12</v>
      </c>
      <c r="J23" t="s">
        <v>16</v>
      </c>
      <c r="K23" s="3">
        <f t="shared" si="5"/>
        <v>1000</v>
      </c>
      <c r="M23" s="4">
        <f t="shared" si="2"/>
        <v>99.6</v>
      </c>
      <c r="O23">
        <v>0.5</v>
      </c>
      <c r="P23">
        <f t="shared" si="3"/>
        <v>99.6</v>
      </c>
    </row>
    <row r="24" spans="1:16" x14ac:dyDescent="0.25">
      <c r="A24">
        <v>24</v>
      </c>
      <c r="B24" t="s">
        <v>12</v>
      </c>
      <c r="C24" s="5">
        <v>46078</v>
      </c>
      <c r="D24" t="s">
        <v>37</v>
      </c>
      <c r="E24">
        <v>1100</v>
      </c>
      <c r="F24" t="s">
        <v>18</v>
      </c>
      <c r="G24" s="3">
        <f t="shared" si="0"/>
        <v>109.55999999999999</v>
      </c>
      <c r="H24" s="3">
        <f t="shared" si="4"/>
        <v>1100</v>
      </c>
      <c r="I24" t="s">
        <v>12</v>
      </c>
      <c r="J24" t="s">
        <v>16</v>
      </c>
      <c r="K24" s="3">
        <f t="shared" si="5"/>
        <v>550</v>
      </c>
      <c r="M24" s="4">
        <f t="shared" si="2"/>
        <v>54.779999999999994</v>
      </c>
      <c r="O24">
        <v>0.5</v>
      </c>
      <c r="P24">
        <f t="shared" si="3"/>
        <v>54.779999999999994</v>
      </c>
    </row>
    <row r="25" spans="1:16" x14ac:dyDescent="0.25">
      <c r="A25">
        <v>25</v>
      </c>
      <c r="B25" t="s">
        <v>12</v>
      </c>
      <c r="C25" s="5">
        <v>46080</v>
      </c>
      <c r="D25" t="s">
        <v>37</v>
      </c>
      <c r="E25">
        <v>1300</v>
      </c>
      <c r="F25" t="s">
        <v>18</v>
      </c>
      <c r="G25" s="3">
        <f t="shared" si="0"/>
        <v>129.47999999999999</v>
      </c>
      <c r="H25" s="3">
        <f t="shared" si="4"/>
        <v>1300</v>
      </c>
      <c r="I25" t="s">
        <v>12</v>
      </c>
      <c r="J25" t="s">
        <v>16</v>
      </c>
      <c r="K25" s="3">
        <f t="shared" si="5"/>
        <v>650</v>
      </c>
      <c r="M25" s="4">
        <f t="shared" si="2"/>
        <v>64.739999999999995</v>
      </c>
      <c r="O25">
        <v>0.5</v>
      </c>
      <c r="P25">
        <f t="shared" si="3"/>
        <v>64.739999999999995</v>
      </c>
    </row>
    <row r="26" spans="1:16" x14ac:dyDescent="0.25">
      <c r="A26">
        <v>26</v>
      </c>
      <c r="B26" t="s">
        <v>12</v>
      </c>
      <c r="C26" s="5">
        <v>46080</v>
      </c>
      <c r="D26" t="s">
        <v>37</v>
      </c>
      <c r="E26">
        <v>1200</v>
      </c>
      <c r="F26" t="s">
        <v>18</v>
      </c>
      <c r="G26" s="3">
        <f t="shared" si="0"/>
        <v>119.52</v>
      </c>
      <c r="H26" s="3">
        <f t="shared" si="4"/>
        <v>1200</v>
      </c>
      <c r="I26" t="s">
        <v>12</v>
      </c>
      <c r="J26" t="s">
        <v>16</v>
      </c>
      <c r="K26" s="3">
        <f t="shared" si="5"/>
        <v>600</v>
      </c>
      <c r="M26" s="4">
        <f t="shared" si="2"/>
        <v>59.76</v>
      </c>
      <c r="O26">
        <v>0.5</v>
      </c>
      <c r="P26">
        <f t="shared" si="3"/>
        <v>59.76</v>
      </c>
    </row>
    <row r="27" spans="1:16" x14ac:dyDescent="0.25">
      <c r="A27" s="6"/>
      <c r="B27" s="6" t="s">
        <v>38</v>
      </c>
      <c r="C27" s="7"/>
      <c r="D27" s="6" t="s">
        <v>39</v>
      </c>
      <c r="E27" s="6">
        <v>4500</v>
      </c>
      <c r="F27" s="6" t="s">
        <v>18</v>
      </c>
      <c r="G27" s="8">
        <f t="shared" si="0"/>
        <v>448.2</v>
      </c>
      <c r="H27" s="8">
        <f t="shared" si="4"/>
        <v>4500</v>
      </c>
      <c r="I27" s="6" t="s">
        <v>38</v>
      </c>
      <c r="J27" s="6" t="s">
        <v>16</v>
      </c>
      <c r="K27" s="8">
        <f t="shared" si="5"/>
        <v>2250</v>
      </c>
      <c r="L27" s="6"/>
      <c r="M27" s="9">
        <f>K27*0.0996</f>
        <v>224.1</v>
      </c>
      <c r="O27">
        <v>0</v>
      </c>
      <c r="P27">
        <f t="shared" si="3"/>
        <v>0</v>
      </c>
    </row>
    <row r="28" spans="1:16" x14ac:dyDescent="0.25">
      <c r="A28" s="6"/>
      <c r="B28" s="6" t="s">
        <v>38</v>
      </c>
      <c r="C28" s="7"/>
      <c r="D28" s="6" t="s">
        <v>40</v>
      </c>
      <c r="E28" s="6">
        <v>2000</v>
      </c>
      <c r="F28" s="6" t="s">
        <v>18</v>
      </c>
      <c r="G28" s="8">
        <f t="shared" si="0"/>
        <v>199.2</v>
      </c>
      <c r="H28" s="8">
        <f t="shared" si="4"/>
        <v>2000</v>
      </c>
      <c r="I28" s="6" t="s">
        <v>38</v>
      </c>
      <c r="J28" s="6" t="s">
        <v>16</v>
      </c>
      <c r="K28" s="8">
        <f t="shared" si="5"/>
        <v>1000</v>
      </c>
      <c r="L28" s="6"/>
      <c r="M28" s="9">
        <f t="shared" si="2"/>
        <v>99.6</v>
      </c>
      <c r="O28">
        <v>0.5</v>
      </c>
      <c r="P28">
        <f t="shared" si="3"/>
        <v>99.6</v>
      </c>
    </row>
    <row r="29" spans="1:16" x14ac:dyDescent="0.25">
      <c r="A29" s="6"/>
      <c r="B29" s="6" t="s">
        <v>38</v>
      </c>
      <c r="C29" s="7"/>
      <c r="D29" s="6" t="s">
        <v>41</v>
      </c>
      <c r="E29" s="6">
        <v>1500</v>
      </c>
      <c r="F29" s="6" t="s">
        <v>18</v>
      </c>
      <c r="G29" s="8">
        <f t="shared" si="0"/>
        <v>149.39999999999998</v>
      </c>
      <c r="H29" s="8">
        <f t="shared" si="4"/>
        <v>1500</v>
      </c>
      <c r="I29" s="6" t="s">
        <v>38</v>
      </c>
      <c r="J29" s="6" t="s">
        <v>16</v>
      </c>
      <c r="K29" s="8">
        <f t="shared" si="5"/>
        <v>750</v>
      </c>
      <c r="L29" s="6"/>
      <c r="M29" s="9">
        <f t="shared" si="2"/>
        <v>74.699999999999989</v>
      </c>
      <c r="O29">
        <v>0.5</v>
      </c>
      <c r="P29">
        <f t="shared" si="3"/>
        <v>74.699999999999989</v>
      </c>
    </row>
    <row r="30" spans="1:16" x14ac:dyDescent="0.25">
      <c r="A30" s="6"/>
      <c r="B30" s="6" t="s">
        <v>38</v>
      </c>
      <c r="C30" s="7"/>
      <c r="D30" s="6" t="s">
        <v>42</v>
      </c>
      <c r="E30" s="6">
        <v>2300</v>
      </c>
      <c r="F30" s="6" t="s">
        <v>18</v>
      </c>
      <c r="G30" s="8">
        <f t="shared" si="0"/>
        <v>229.07999999999998</v>
      </c>
      <c r="H30" s="8">
        <f t="shared" si="4"/>
        <v>2300</v>
      </c>
      <c r="I30" s="6" t="s">
        <v>38</v>
      </c>
      <c r="J30" s="6" t="s">
        <v>16</v>
      </c>
      <c r="K30" s="8">
        <f t="shared" si="5"/>
        <v>1150</v>
      </c>
      <c r="L30" s="6"/>
      <c r="M30" s="9">
        <f t="shared" si="2"/>
        <v>114.53999999999999</v>
      </c>
      <c r="O30">
        <v>0.5</v>
      </c>
      <c r="P30">
        <f t="shared" si="3"/>
        <v>114.53999999999999</v>
      </c>
    </row>
    <row r="31" spans="1:16" x14ac:dyDescent="0.25">
      <c r="A31" s="6"/>
      <c r="B31" s="6" t="s">
        <v>38</v>
      </c>
      <c r="C31" s="7"/>
      <c r="D31" s="6" t="s">
        <v>43</v>
      </c>
      <c r="E31" s="6">
        <v>1700</v>
      </c>
      <c r="F31" s="6" t="s">
        <v>18</v>
      </c>
      <c r="G31" s="8">
        <f t="shared" si="0"/>
        <v>169.32</v>
      </c>
      <c r="H31" s="8">
        <f t="shared" si="4"/>
        <v>1700</v>
      </c>
      <c r="I31" s="6" t="s">
        <v>38</v>
      </c>
      <c r="J31" s="6" t="s">
        <v>16</v>
      </c>
      <c r="K31" s="8">
        <f t="shared" si="5"/>
        <v>850</v>
      </c>
      <c r="L31" s="6"/>
      <c r="M31" s="9">
        <f t="shared" si="2"/>
        <v>84.66</v>
      </c>
      <c r="O31">
        <v>0.5</v>
      </c>
      <c r="P31">
        <f t="shared" si="3"/>
        <v>84.66</v>
      </c>
    </row>
    <row r="32" spans="1:16" x14ac:dyDescent="0.25">
      <c r="A32" s="6"/>
      <c r="B32" s="6" t="s">
        <v>38</v>
      </c>
      <c r="C32" s="7"/>
      <c r="D32" s="6" t="s">
        <v>44</v>
      </c>
      <c r="E32" s="6">
        <v>1300</v>
      </c>
      <c r="F32" s="6" t="s">
        <v>18</v>
      </c>
      <c r="G32" s="8">
        <f t="shared" si="0"/>
        <v>129.47999999999999</v>
      </c>
      <c r="H32" s="8">
        <f t="shared" si="4"/>
        <v>1300</v>
      </c>
      <c r="I32" s="6" t="s">
        <v>38</v>
      </c>
      <c r="J32" s="6" t="s">
        <v>16</v>
      </c>
      <c r="K32" s="8">
        <f t="shared" si="5"/>
        <v>650</v>
      </c>
      <c r="L32" s="6"/>
      <c r="M32" s="9">
        <f t="shared" si="2"/>
        <v>64.739999999999995</v>
      </c>
      <c r="O32">
        <v>0.5</v>
      </c>
      <c r="P32">
        <f t="shared" si="3"/>
        <v>64.739999999999995</v>
      </c>
    </row>
    <row r="33" spans="1:16" x14ac:dyDescent="0.25">
      <c r="A33" s="6"/>
      <c r="B33" s="6" t="s">
        <v>38</v>
      </c>
      <c r="C33" s="7"/>
      <c r="D33" s="6" t="s">
        <v>45</v>
      </c>
      <c r="E33" s="6">
        <v>500</v>
      </c>
      <c r="F33" s="6" t="s">
        <v>18</v>
      </c>
      <c r="G33" s="8">
        <f t="shared" si="0"/>
        <v>49.8</v>
      </c>
      <c r="H33" s="8">
        <f t="shared" si="4"/>
        <v>500</v>
      </c>
      <c r="I33" s="6" t="s">
        <v>38</v>
      </c>
      <c r="J33" s="6" t="s">
        <v>16</v>
      </c>
      <c r="K33" s="8">
        <f t="shared" si="5"/>
        <v>250</v>
      </c>
      <c r="L33" s="6"/>
      <c r="M33" s="9">
        <f t="shared" si="2"/>
        <v>24.9</v>
      </c>
      <c r="O33">
        <v>0.5</v>
      </c>
      <c r="P33">
        <f t="shared" si="3"/>
        <v>24.9</v>
      </c>
    </row>
    <row r="34" spans="1:16" x14ac:dyDescent="0.25">
      <c r="A34" s="6"/>
      <c r="B34" s="6" t="s">
        <v>38</v>
      </c>
      <c r="C34" s="7"/>
      <c r="D34" s="10" t="s">
        <v>46</v>
      </c>
      <c r="E34" s="10">
        <v>1000</v>
      </c>
      <c r="F34" s="10" t="s">
        <v>18</v>
      </c>
      <c r="G34" s="11">
        <f t="shared" si="0"/>
        <v>99.6</v>
      </c>
      <c r="H34" s="8">
        <f t="shared" si="4"/>
        <v>1000</v>
      </c>
      <c r="I34" s="6" t="s">
        <v>38</v>
      </c>
      <c r="J34" s="6" t="s">
        <v>16</v>
      </c>
      <c r="K34" s="8">
        <f t="shared" ref="K34:K42" si="6">IF(J34="ja",H34/2,0)</f>
        <v>500</v>
      </c>
      <c r="L34" s="6"/>
      <c r="M34" s="9">
        <f t="shared" si="2"/>
        <v>49.8</v>
      </c>
      <c r="O34">
        <v>0.5</v>
      </c>
      <c r="P34">
        <f t="shared" si="3"/>
        <v>49.8</v>
      </c>
    </row>
    <row r="35" spans="1:16" x14ac:dyDescent="0.25">
      <c r="A35" s="6"/>
      <c r="B35" s="6" t="s">
        <v>38</v>
      </c>
      <c r="C35" s="7"/>
      <c r="D35" s="10" t="s">
        <v>47</v>
      </c>
      <c r="E35" s="10">
        <v>900</v>
      </c>
      <c r="F35" s="10" t="s">
        <v>18</v>
      </c>
      <c r="G35" s="11">
        <v>90</v>
      </c>
      <c r="H35" s="8">
        <f t="shared" si="4"/>
        <v>900</v>
      </c>
      <c r="I35" s="6" t="s">
        <v>38</v>
      </c>
      <c r="J35" s="6" t="s">
        <v>16</v>
      </c>
      <c r="K35" s="8">
        <f t="shared" si="6"/>
        <v>450</v>
      </c>
      <c r="L35" s="6"/>
      <c r="M35" s="9">
        <f t="shared" si="2"/>
        <v>44.82</v>
      </c>
      <c r="O35">
        <v>0.5</v>
      </c>
      <c r="P35">
        <f t="shared" si="3"/>
        <v>45</v>
      </c>
    </row>
    <row r="36" spans="1:16" x14ac:dyDescent="0.25">
      <c r="A36" s="6"/>
      <c r="B36" s="6" t="s">
        <v>38</v>
      </c>
      <c r="C36" s="7"/>
      <c r="D36" s="10" t="s">
        <v>48</v>
      </c>
      <c r="E36" s="10">
        <v>1400</v>
      </c>
      <c r="F36" s="10" t="s">
        <v>18</v>
      </c>
      <c r="G36" s="11">
        <f t="shared" si="0"/>
        <v>139.44</v>
      </c>
      <c r="H36" s="8">
        <f t="shared" si="4"/>
        <v>1400</v>
      </c>
      <c r="I36" s="6" t="s">
        <v>38</v>
      </c>
      <c r="J36" s="6" t="s">
        <v>16</v>
      </c>
      <c r="K36" s="8">
        <f t="shared" si="6"/>
        <v>700</v>
      </c>
      <c r="L36" s="6"/>
      <c r="M36" s="9">
        <f t="shared" si="2"/>
        <v>69.72</v>
      </c>
      <c r="O36">
        <v>0.5</v>
      </c>
      <c r="P36">
        <f t="shared" si="3"/>
        <v>69.72</v>
      </c>
    </row>
    <row r="37" spans="1:16" x14ac:dyDescent="0.25">
      <c r="A37" s="6"/>
      <c r="B37" s="6" t="s">
        <v>38</v>
      </c>
      <c r="C37" s="7"/>
      <c r="D37" s="10" t="s">
        <v>49</v>
      </c>
      <c r="E37" s="10">
        <v>2800</v>
      </c>
      <c r="F37" s="10" t="s">
        <v>18</v>
      </c>
      <c r="G37" s="11">
        <f t="shared" si="0"/>
        <v>278.88</v>
      </c>
      <c r="H37" s="8">
        <f t="shared" si="4"/>
        <v>2800</v>
      </c>
      <c r="I37" s="6" t="s">
        <v>38</v>
      </c>
      <c r="J37" s="6" t="s">
        <v>16</v>
      </c>
      <c r="K37" s="8">
        <f t="shared" si="6"/>
        <v>1400</v>
      </c>
      <c r="L37" s="6"/>
      <c r="M37" s="9">
        <f t="shared" si="2"/>
        <v>139.44</v>
      </c>
      <c r="O37">
        <v>0.5</v>
      </c>
      <c r="P37">
        <f t="shared" si="3"/>
        <v>139.44</v>
      </c>
    </row>
    <row r="38" spans="1:16" x14ac:dyDescent="0.25">
      <c r="A38" s="6"/>
      <c r="B38" s="6" t="s">
        <v>38</v>
      </c>
      <c r="C38" s="7"/>
      <c r="D38" s="10" t="s">
        <v>50</v>
      </c>
      <c r="E38" s="10">
        <v>2200</v>
      </c>
      <c r="F38" s="10" t="s">
        <v>18</v>
      </c>
      <c r="G38" s="11">
        <f t="shared" si="0"/>
        <v>219.11999999999998</v>
      </c>
      <c r="H38" s="8">
        <f t="shared" si="4"/>
        <v>2200</v>
      </c>
      <c r="I38" s="6" t="s">
        <v>38</v>
      </c>
      <c r="J38" s="6" t="s">
        <v>16</v>
      </c>
      <c r="K38" s="8">
        <f t="shared" si="6"/>
        <v>1100</v>
      </c>
      <c r="L38" s="6"/>
      <c r="M38" s="9">
        <f t="shared" si="2"/>
        <v>109.55999999999999</v>
      </c>
      <c r="O38">
        <v>0.5</v>
      </c>
      <c r="P38">
        <f t="shared" si="3"/>
        <v>109.55999999999999</v>
      </c>
    </row>
    <row r="39" spans="1:16" x14ac:dyDescent="0.25">
      <c r="A39" s="6"/>
      <c r="B39" s="6" t="s">
        <v>38</v>
      </c>
      <c r="C39" s="7"/>
      <c r="D39" s="10" t="s">
        <v>51</v>
      </c>
      <c r="E39" s="10">
        <v>1300</v>
      </c>
      <c r="F39" s="10" t="s">
        <v>18</v>
      </c>
      <c r="G39" s="11">
        <f t="shared" si="0"/>
        <v>129.47999999999999</v>
      </c>
      <c r="H39" s="8">
        <f t="shared" si="4"/>
        <v>1300</v>
      </c>
      <c r="I39" s="6" t="s">
        <v>38</v>
      </c>
      <c r="J39" s="6" t="s">
        <v>16</v>
      </c>
      <c r="K39" s="8">
        <f t="shared" si="6"/>
        <v>650</v>
      </c>
      <c r="L39" s="6"/>
      <c r="M39" s="9">
        <f t="shared" si="2"/>
        <v>64.739999999999995</v>
      </c>
      <c r="O39">
        <v>0.5</v>
      </c>
      <c r="P39">
        <f t="shared" si="3"/>
        <v>64.739999999999995</v>
      </c>
    </row>
    <row r="40" spans="1:16" x14ac:dyDescent="0.25">
      <c r="A40" s="6"/>
      <c r="B40" s="6" t="s">
        <v>38</v>
      </c>
      <c r="C40" s="7"/>
      <c r="D40" s="10" t="s">
        <v>52</v>
      </c>
      <c r="E40" s="10">
        <v>1100</v>
      </c>
      <c r="F40" s="10" t="s">
        <v>18</v>
      </c>
      <c r="G40" s="11">
        <f t="shared" si="0"/>
        <v>109.55999999999999</v>
      </c>
      <c r="H40" s="8">
        <f t="shared" si="4"/>
        <v>1100</v>
      </c>
      <c r="I40" s="6" t="s">
        <v>38</v>
      </c>
      <c r="J40" s="6" t="s">
        <v>16</v>
      </c>
      <c r="K40" s="8">
        <f t="shared" si="6"/>
        <v>550</v>
      </c>
      <c r="L40" s="6"/>
      <c r="M40" s="9">
        <f t="shared" si="2"/>
        <v>54.779999999999994</v>
      </c>
      <c r="O40">
        <v>0.5</v>
      </c>
      <c r="P40">
        <f t="shared" si="3"/>
        <v>54.779999999999994</v>
      </c>
    </row>
    <row r="41" spans="1:16" x14ac:dyDescent="0.25">
      <c r="A41" s="6"/>
      <c r="B41" s="6" t="s">
        <v>38</v>
      </c>
      <c r="C41" s="7"/>
      <c r="D41" s="10" t="s">
        <v>53</v>
      </c>
      <c r="E41" s="10">
        <v>1300</v>
      </c>
      <c r="F41" s="10" t="s">
        <v>18</v>
      </c>
      <c r="G41" s="11">
        <f t="shared" si="0"/>
        <v>129.47999999999999</v>
      </c>
      <c r="H41" s="8">
        <f t="shared" si="4"/>
        <v>1300</v>
      </c>
      <c r="I41" s="6" t="s">
        <v>38</v>
      </c>
      <c r="J41" s="6" t="s">
        <v>16</v>
      </c>
      <c r="K41" s="8">
        <f t="shared" si="6"/>
        <v>650</v>
      </c>
      <c r="L41" s="6"/>
      <c r="M41" s="9">
        <f t="shared" si="2"/>
        <v>64.739999999999995</v>
      </c>
      <c r="O41">
        <v>0.5</v>
      </c>
      <c r="P41">
        <f t="shared" si="3"/>
        <v>64.739999999999995</v>
      </c>
    </row>
    <row r="42" spans="1:16" x14ac:dyDescent="0.25">
      <c r="A42" s="6"/>
      <c r="B42" s="6" t="s">
        <v>38</v>
      </c>
      <c r="C42" s="7"/>
      <c r="D42" s="10" t="s">
        <v>54</v>
      </c>
      <c r="E42" s="10">
        <v>8000</v>
      </c>
      <c r="F42" s="10" t="s">
        <v>18</v>
      </c>
      <c r="G42" s="11">
        <v>8000</v>
      </c>
      <c r="H42" s="8">
        <f t="shared" si="4"/>
        <v>8000</v>
      </c>
      <c r="I42" s="6" t="s">
        <v>38</v>
      </c>
      <c r="J42" s="6" t="s">
        <v>16</v>
      </c>
      <c r="K42" s="8">
        <f t="shared" si="6"/>
        <v>4000</v>
      </c>
      <c r="L42" s="6"/>
      <c r="M42" s="9">
        <f t="shared" si="2"/>
        <v>398.4</v>
      </c>
      <c r="O42">
        <v>0.5</v>
      </c>
      <c r="P42">
        <f t="shared" si="3"/>
        <v>4000</v>
      </c>
    </row>
    <row r="44" spans="1:16" x14ac:dyDescent="0.25">
      <c r="P44">
        <f>SUM(P2:P43)</f>
        <v>7887.6355999999996</v>
      </c>
    </row>
    <row r="45" spans="1:16" x14ac:dyDescent="0.25">
      <c r="N45" t="s">
        <v>56</v>
      </c>
      <c r="P45">
        <f>P44/21</f>
        <v>375.6016952380952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Resplan</vt:lpstr>
      <vt:lpstr>Sammanräkning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Paulson</dc:creator>
  <cp:lastModifiedBy>Clarence Paulson</cp:lastModifiedBy>
  <dcterms:created xsi:type="dcterms:W3CDTF">2026-08-14T07:06:59Z</dcterms:created>
  <dcterms:modified xsi:type="dcterms:W3CDTF">2026-08-14T08:06:35Z</dcterms:modified>
</cp:coreProperties>
</file>